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87c146d37d47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cfe9c4f9eda41a9"/>
    <x:sheet xmlns:r="http://schemas.openxmlformats.org/officeDocument/2006/relationships" name="Project_Config" sheetId="2" r:id="Rccd7ca6bbdb24f9c"/>
    <x:sheet xmlns:r="http://schemas.openxmlformats.org/officeDocument/2006/relationships" name="IBC_Base_Rules" sheetId="3" r:id="R1b5761f557cc4746"/>
    <x:sheet xmlns:r="http://schemas.openxmlformats.org/officeDocument/2006/relationships" name="Reference_Projects" sheetId="4" r:id="R41df5e8d533b4b11"/>
    <x:sheet xmlns:r="http://schemas.openxmlformats.org/officeDocument/2006/relationships" name="Extraction_Queue" sheetId="5" r:id="Rb7bc622a30434b68"/>
    <x:sheet xmlns:r="http://schemas.openxmlformats.org/officeDocument/2006/relationships" name="IBC_AI_Rules" sheetId="6" r:id="R0a6c2885951740cd"/>
    <x:sheet xmlns:r="http://schemas.openxmlformats.org/officeDocument/2006/relationships" name="Occupant_Load_Factors" sheetId="7" r:id="R9fccd2b1c00f4a4e"/>
    <x:sheet xmlns:r="http://schemas.openxmlformats.org/officeDocument/2006/relationships" name="Hotel_Space_Mapping" sheetId="8" r:id="R6e274375448842ad"/>
    <x:sheet xmlns:r="http://schemas.openxmlformats.org/officeDocument/2006/relationships" name="Rule_Test_Cases" sheetId="9" r:id="R8d8ca5d9083748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4"/>
      <x:color rgb="FFFFFFFF"/>
      <x:name val="Aptos"/>
    </x:font>
    <x:font>
      <x:b/>
      <x:sz val="11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0"/>
      <x:color rgb="FFFFFFFF"/>
      <x:name val="Aptos"/>
    </x:font>
    <x:font>
      <x:sz val="10"/>
      <x:name val="Aptos"/>
    </x:font>
    <x:font>
      <x:sz val="9"/>
      <x:name val="Aptos"/>
    </x:font>
  </x:fonts>
  <x:fills count="1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806000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  <x:fill>
      <x:patternFill patternType="solid">
        <x:fgColor rgb="FF8064A2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a7a7905d6d4dee" /><Relationship Type="http://schemas.openxmlformats.org/officeDocument/2006/relationships/theme" Target="/xl/theme/theme1.xml" Id="R22b975914e53446c" /><Relationship Type="http://schemas.microsoft.com/office/2022/11/relationships/FeaturePropertyBag" Target="/xl/featurePropertyBag/featurePropertyBag.xml" Id="Ra6224a2df7734289" /><Relationship Type="http://schemas.openxmlformats.org/officeDocument/2006/relationships/sharedStrings" Target="/xl/sharedStrings.xml" Id="R08fe46ee22084c4a" /><Relationship Type="http://schemas.openxmlformats.org/officeDocument/2006/relationships/worksheet" Target="/xl/worksheets/sheet1.xml" Id="Racfe9c4f9eda41a9" /><Relationship Type="http://schemas.openxmlformats.org/officeDocument/2006/relationships/worksheet" Target="/xl/worksheets/sheet2.xml" Id="Rccd7ca6bbdb24f9c" /><Relationship Type="http://schemas.openxmlformats.org/officeDocument/2006/relationships/worksheet" Target="/xl/worksheets/sheet3.xml" Id="R1b5761f557cc4746" /><Relationship Type="http://schemas.openxmlformats.org/officeDocument/2006/relationships/worksheet" Target="/xl/worksheets/sheet4.xml" Id="R41df5e8d533b4b11" /><Relationship Type="http://schemas.openxmlformats.org/officeDocument/2006/relationships/worksheet" Target="/xl/worksheets/sheet5.xml" Id="Rb7bc622a30434b68" /><Relationship Type="http://schemas.openxmlformats.org/officeDocument/2006/relationships/worksheet" Target="/xl/worksheets/sheet6.xml" Id="R0a6c2885951740cd" /><Relationship Type="http://schemas.openxmlformats.org/officeDocument/2006/relationships/worksheet" Target="/xl/worksheets/sheet7.xml" Id="R9fccd2b1c00f4a4e" /><Relationship Type="http://schemas.openxmlformats.org/officeDocument/2006/relationships/worksheet" Target="/xl/worksheets/sheet8.xml" Id="R6e274375448842ad" /><Relationship Type="http://schemas.openxmlformats.org/officeDocument/2006/relationships/worksheet" Target="/xl/worksheets/sheet9.xml" Id="R8d8ca5d9083748f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BCBaseRulesTable" displayName="IBCBaseRulesTable" ref="A1:T29" headerRowCount="1" totalsRowCount="0" totalsRowShown="0">
  <x:tableColumns count="20">
    <x:tableColumn id="1" name="rule_id"/>
    <x:tableColumn id="2" name="category"/>
    <x:tableColumn id="3" name="rule_name"/>
    <x:tableColumn id="4" name="rule_type"/>
    <x:tableColumn id="5" name="base_code"/>
    <x:tableColumn id="6" name="base_section"/>
    <x:tableColumn id="7" name="occupancy"/>
    <x:tableColumn id="8" name="sprinkler_condition"/>
    <x:tableColumn id="9" name="construction_type"/>
    <x:tableColumn id="10" name="operator"/>
    <x:tableColumn id="11" name="value"/>
    <x:tableColumn id="12" name="units"/>
    <x:tableColumn id="13" name="rule_description"/>
    <x:tableColumn id="14" name="applies_when"/>
    <x:tableColumn id="15" name="ai_check_method"/>
    <x:tableColumn id="16" name="hard_soft"/>
    <x:tableColumn id="17" name="verification_status"/>
    <x:tableColumn id="18" name="source_url"/>
    <x:tableColumn id="19" name="date_verified"/>
    <x:tableColumn id="20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8e12be45f29a49c7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4" t="str">
        <x:v>RNGD Hotel IBC 2021 Base-Code Rule Database — Five-Story R-1 Prototype</x:v>
      </x:c>
      <x:c r="B1" s="4"/>
      <x:c r="C1" s="4"/>
      <x:c r="D1" s="4"/>
    </x:row>
    <x:row r="3">
      <x:c r="A3" s="9" t="str">
        <x:v>Scope</x:v>
      </x:c>
      <x:c r="B3" s="13" t="str">
        <x:v>2021 International Building Code base model code only.</x:v>
      </x:c>
    </x:row>
    <x:row r="4">
      <x:c r="A4" s="9" t="str">
        <x:v>Excluded</x:v>
      </x:c>
      <x:c r="B4" s="13" t="str">
        <x:v>No state amendments, no city amendments, no jurisdiction override layer.</x:v>
      </x:c>
    </x:row>
    <x:row r="5">
      <x:c r="A5" s="9" t="str">
        <x:v>Prototype</x:v>
      </x:c>
      <x:c r="B5" s="13" t="str">
        <x:v>New construction; Group R-1 hotel; 5 stories; fully sprinklered; Type II subtype TBD.</x:v>
      </x:c>
    </x:row>
    <x:row r="6">
      <x:c r="A6" s="9" t="str">
        <x:v>Purpose</x:v>
      </x:c>
      <x:c r="B6" s="13" t="str">
        <x:v>Pre-parse high-value code constraints into structured rows so the AI checks deterministic data instead of re-reading the full code book on every run.</x:v>
      </x:c>
    </x:row>
    <x:row r="7">
      <x:c r="A7" s="9" t="str">
        <x:v>Rule source</x:v>
      </x:c>
      <x:c r="B7" s="13" t="str">
        <x:v>Official ICC Digital Codes section/chapter URLs are stored on each rule row.</x:v>
      </x:c>
    </x:row>
    <x:row r="8">
      <x:c r="A8" s="9" t="str">
        <x:v>Reference projects</x:v>
      </x:c>
      <x:c r="B8" s="13" t="str">
        <x:v>The three uploaded RNGD/Bryden Wood PDFs are precedents only. Their design choices are not treated as code requirements.</x:v>
      </x:c>
    </x:row>
    <x:row r="9">
      <x:c r="A9" s="9" t="str">
        <x:v>Current status</x:v>
      </x:c>
      <x:c r="B9" s="13" t="str">
        <x:v>28 starter IBC rules structured; next extraction queue identifies remaining high-value topics.</x:v>
      </x:c>
    </x:row>
    <x:row r="10">
      <x:c r="A10" s="9" t="str">
        <x:v>CSV workflow</x:v>
      </x:c>
      <x:c r="B10" s="13" t="str">
        <x:v>Use the IBC_Base_Rules sheet as the editable master and export that table to CSV for the AI pipeline.</x:v>
      </x:c>
    </x:row>
    <x:row r="11">
      <x:c r="A11" s="9" t="str">
        <x:v>Change control</x:v>
      </x:c>
      <x:c r="B11" s="13" t="str">
        <x:v>If the base-code edition changes later, preserve the existing rows and create a new version rather than overwriting history.</x:v>
      </x:c>
    </x:row>
    <x:row r="13">
      <x:c r="A13" s="70" t="str">
        <x:v>AI-ready additions</x:v>
      </x:c>
      <x:c r="B13" s="13" t="str">
        <x:v>IBC_AI_Rules adds machine-execution fields to the human-readable IBC_Base_Rules sheet.</x:v>
      </x:c>
    </x:row>
    <x:row r="14">
      <x:c r="A14" s="70" t="str">
        <x:v>Occupant-load block</x:v>
      </x:c>
      <x:c r="B14" s="13" t="str">
        <x:v>Occupant_Load_Factors contains hotel-relevant 2021 IBC Table 1004.5 factors selected for the five-story R-1 prototype.</x:v>
      </x:c>
    </x:row>
    <x:row r="15">
      <x:c r="A15" s="70" t="str">
        <x:v>Hotel mapping</x:v>
      </x:c>
      <x:c r="B15" s="13" t="str">
        <x:v>Hotel_Space_Mapping maps selected spaces from the RNGD Living + Lodging precedent to candidate IBC occupant-load functions; ambiguous mappings are flagged for AEC review.</x:v>
      </x:c>
    </x:row>
    <x:row r="16">
      <x:c r="A16" s="70" t="str">
        <x:v>Testing</x:v>
      </x:c>
      <x:c r="B16" s="13" t="str">
        <x:v>Rule_Test_Cases contains 10 calculation/compliance tests with spreadsheet formulas and expected outputs.</x:v>
      </x:c>
    </x:row>
    <x:row r="17">
      <x:c r="A17" s="70" t="str">
        <x:v>Architecture use</x:v>
      </x:c>
      <x:c r="B17" s="13" t="str">
        <x:v>Python should execute numeric checks; the LLM should explain results and unresolved conditions rather than invent compliance values.</x:v>
      </x:c>
    </x:row>
    <x:row r="18">
      <x:c r="A18" s="70" t="str">
        <x:v>Next extraction</x:v>
      </x:c>
      <x:c r="B18" s="13" t="str">
        <x:v>After occupant load: egress capacity (Section 1005), mixed occupancy, stair/core geometry, and selected fire-resistance rules.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2" hidden="0" customWidth="1"/>
    <x:col min="3" max="3" width="70" hidden="0" customWidth="1"/>
  </x:cols>
  <x:sheetData>
    <x:row r="1">
      <x:c r="A1" s="17" t="str">
        <x:v>Field</x:v>
      </x:c>
      <x:c r="B1" s="17" t="str">
        <x:v>Working Value</x:v>
      </x:c>
      <x:c r="C1" s="17" t="str">
        <x:v>Status / Note</x:v>
      </x:c>
    </x:row>
    <x:row r="2">
      <x:c r="A2" s="13" t="str">
        <x:v>Base code</x:v>
      </x:c>
      <x:c r="B2" s="13" t="str">
        <x:v>2021 International Building Code</x:v>
      </x:c>
      <x:c r="C2" s="13" t="str">
        <x:v>Fixed</x:v>
      </x:c>
    </x:row>
    <x:row r="3">
      <x:c r="A3" s="13" t="str">
        <x:v>Jurisdiction layer</x:v>
      </x:c>
      <x:c r="B3" s="13" t="str">
        <x:v>None</x:v>
      </x:c>
      <x:c r="C3" s="13" t="str">
        <x:v>Per RNGD direction; base code only</x:v>
      </x:c>
    </x:row>
    <x:row r="4">
      <x:c r="A4" s="13" t="str">
        <x:v>Project type</x:v>
      </x:c>
      <x:c r="B4" s="13" t="str">
        <x:v>New construction</x:v>
      </x:c>
      <x:c r="C4" s="13" t="str">
        <x:v>Fixed for prototype</x:v>
      </x:c>
    </x:row>
    <x:row r="5">
      <x:c r="A5" s="13" t="str">
        <x:v>Primary occupancy</x:v>
      </x:c>
      <x:c r="B5" s="13" t="str">
        <x:v>Group R-1 transient hotel</x:v>
      </x:c>
      <x:c r="C5" s="13" t="str">
        <x:v>Fixed</x:v>
      </x:c>
    </x:row>
    <x:row r="6">
      <x:c r="A6" s="13" t="str">
        <x:v>Stories</x:v>
      </x:c>
      <x:c r="B6" s="13" t="str">
        <x:v>5 stories above grade plane</x:v>
      </x:c>
      <x:c r="C6" s="13" t="str">
        <x:v>Fixed for current prototype</x:v>
      </x:c>
    </x:row>
    <x:row r="7">
      <x:c r="A7" s="13" t="str">
        <x:v>Sprinkler protection</x:v>
      </x:c>
      <x:c r="B7" s="13" t="str">
        <x:v>Fully sprinklered; NFPA 13 assumption</x:v>
      </x:c>
      <x:c r="C7" s="13" t="str">
        <x:v>Fixed for current prototype</x:v>
      </x:c>
    </x:row>
    <x:row r="8">
      <x:c r="A8" s="13" t="str">
        <x:v>Construction type</x:v>
      </x:c>
      <x:c r="B8" s="13" t="str">
        <x:v>Type II; IIA vs IIB not yet locked</x:v>
      </x:c>
      <x:c r="C8" s="13" t="str">
        <x:v>Keep both applicable Chapter 5 rows until subtype is confirmed</x:v>
      </x:c>
    </x:row>
    <x:row r="9">
      <x:c r="A9" s="13" t="str">
        <x:v>High-rise strategy</x:v>
      </x:c>
      <x:c r="B9" s="13" t="str">
        <x:v>Screen only</x:v>
      </x:c>
      <x:c r="C9" s="13" t="str">
        <x:v>Five-story prototype should still be checked against the 75-ft occupied-floor threshold if floor-to-floor heights are unusual</x:v>
      </x:c>
    </x:row>
    <x:row r="10">
      <x:c r="A10" s="13" t="str">
        <x:v>Accessibility scope</x:v>
      </x:c>
      <x:c r="B10" s="13" t="str">
        <x:v>Not yet decided</x:v>
      </x:c>
      <x:c r="C10" s="13" t="str">
        <x:v>IBC Chapter 11 can be added later if the team wants it inside this base-code CSV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34" hidden="0" customWidth="1"/>
    <x:col min="4" max="4" width="20" hidden="0" customWidth="1"/>
    <x:col min="5" max="5" width="12" hidden="0" customWidth="1"/>
    <x:col min="6" max="6" width="20" hidden="0" customWidth="1"/>
    <x:col min="7" max="7" width="11" hidden="0" customWidth="1"/>
    <x:col min="8" max="8" width="18" hidden="0" customWidth="1"/>
    <x:col min="9" max="9" width="18" hidden="0" customWidth="1"/>
    <x:col min="10" max="10" width="10" hidden="0" customWidth="1"/>
    <x:col min="11" max="11" width="22" hidden="0" customWidth="1"/>
    <x:col min="12" max="12" width="18" hidden="0" customWidth="1"/>
    <x:col min="13" max="13" width="55" hidden="0" customWidth="1"/>
    <x:col min="14" max="14" width="50" hidden="0" customWidth="1"/>
    <x:col min="15" max="15" width="50" hidden="0" customWidth="1"/>
    <x:col min="16" max="16" width="12" hidden="0" customWidth="1"/>
    <x:col min="17" max="17" width="24" hidden="0" customWidth="1"/>
    <x:col min="18" max="18" width="46" hidden="0" customWidth="1"/>
    <x:col min="19" max="19" width="14" hidden="0" customWidth="1"/>
    <x:col min="20" max="20" width="55" hidden="0" customWidth="1"/>
  </x:cols>
  <x:sheetData>
    <x:row r="1">
      <x:c r="A1" s="23" t="str">
        <x:v>rule_id</x:v>
      </x:c>
      <x:c r="B1" s="23" t="str">
        <x:v>category</x:v>
      </x:c>
      <x:c r="C1" s="23" t="str">
        <x:v>rule_name</x:v>
      </x:c>
      <x:c r="D1" s="23" t="str">
        <x:v>rule_type</x:v>
      </x:c>
      <x:c r="E1" s="23" t="str">
        <x:v>base_code</x:v>
      </x:c>
      <x:c r="F1" s="23" t="str">
        <x:v>base_section</x:v>
      </x:c>
      <x:c r="G1" s="23" t="str">
        <x:v>occupancy</x:v>
      </x:c>
      <x:c r="H1" s="23" t="str">
        <x:v>sprinkler_condition</x:v>
      </x:c>
      <x:c r="I1" s="23" t="str">
        <x:v>construction_type</x:v>
      </x:c>
      <x:c r="J1" s="23" t="str">
        <x:v>operator</x:v>
      </x:c>
      <x:c r="K1" s="23" t="str">
        <x:v>value</x:v>
      </x:c>
      <x:c r="L1" s="23" t="str">
        <x:v>units</x:v>
      </x:c>
      <x:c r="M1" s="23" t="str">
        <x:v>rule_description</x:v>
      </x:c>
      <x:c r="N1" s="23" t="str">
        <x:v>applies_when</x:v>
      </x:c>
      <x:c r="O1" s="23" t="str">
        <x:v>ai_check_method</x:v>
      </x:c>
      <x:c r="P1" s="23" t="str">
        <x:v>hard_soft</x:v>
      </x:c>
      <x:c r="Q1" s="23" t="str">
        <x:v>verification_status</x:v>
      </x:c>
      <x:c r="R1" s="23" t="str">
        <x:v>source_url</x:v>
      </x:c>
      <x:c r="S1" s="23" t="str">
        <x:v>date_verified</x:v>
      </x:c>
      <x:c r="T1" s="23" t="str">
        <x:v>notes</x:v>
      </x:c>
    </x:row>
    <x:row r="2">
      <x:c r="A2" s="30" t="str">
        <x:v>IBC-R1-001</x:v>
      </x:c>
      <x:c r="B2" s="30" t="str">
        <x:v>Occupancy</x:v>
      </x:c>
      <x:c r="C2" s="30" t="str">
        <x:v>R-1 transient hotel classification</x:v>
      </x:c>
      <x:c r="D2" s="30" t="str">
        <x:v>classification</x:v>
      </x:c>
      <x:c r="E2" s="30" t="str">
        <x:v>2021 IBC</x:v>
      </x:c>
      <x:c r="F2" s="30" t="str">
        <x:v>310.2</x:v>
      </x:c>
      <x:c r="G2" s="30" t="str">
        <x:v>R-1</x:v>
      </x:c>
      <x:c r="H2" s="30" t="str"/>
      <x:c r="I2" s="30" t="str"/>
      <x:c r="J2" s="30" t="str">
        <x:v>eq</x:v>
      </x:c>
      <x:c r="K2" s="30" t="str">
        <x:v>R-1</x:v>
      </x:c>
      <x:c r="L2" s="30" t="str">
        <x:v>classification</x:v>
      </x:c>
      <x:c r="M2" s="30" t="str">
        <x:v>Transient hotels and motels are classified as Group R-1.</x:v>
      </x:c>
      <x:c r="N2" s="30" t="str">
        <x:v>Use is primarily transient lodging.</x:v>
      </x:c>
      <x:c r="O2" s="30" t="str">
        <x:v>Classify project/program use before other checks.</x:v>
      </x:c>
      <x:c r="P2" s="30" t="str">
        <x:v>Hard</x:v>
      </x:c>
      <x:c r="Q2" s="30" t="str">
        <x:v>Starter verified</x:v>
      </x:c>
      <x:c r="R2" s="30" t="str">
        <x:v>https://codes.iccsafe.org/content/IBC2021V2.0/chapter-3-occupancy-classification-and-use</x:v>
      </x:c>
      <x:c r="S2" s="30" t="str">
        <x:v>2026-09-29</x:v>
      </x:c>
      <x:c r="T2" s="30" t="str">
        <x:v>Primary occupancy assumption for the RNGD hotel prototype.</x:v>
      </x:c>
    </x:row>
    <x:row r="3">
      <x:c r="A3" s="30" t="str">
        <x:v>IBC-R1-002</x:v>
      </x:c>
      <x:c r="B3" s="30" t="str">
        <x:v>Mixed Use</x:v>
      </x:c>
      <x:c r="C3" s="30" t="str">
        <x:v>Small accessory assembly space classification</x:v>
      </x:c>
      <x:c r="D3" s="30" t="str">
        <x:v>classification</x:v>
      </x:c>
      <x:c r="E3" s="30" t="str">
        <x:v>2021 IBC</x:v>
      </x:c>
      <x:c r="F3" s="30" t="str">
        <x:v>303.1.1 / 303.1.2</x:v>
      </x:c>
      <x:c r="G3" s="30" t="str">
        <x:v>A/B/R-1</x:v>
      </x:c>
      <x:c r="H3" s="30" t="str"/>
      <x:c r="I3" s="30" t="str"/>
      <x:c r="J3" s="30" t="str">
        <x:v>&lt;</x:v>
      </x:c>
      <x:c r="K3" s="30" t="str">
        <x:v>50 occupants or 750 sf</x:v>
      </x:c>
      <x:c r="L3" s="30" t="str">
        <x:v>threshold</x:v>
      </x:c>
      <x:c r="M3" s="30" t="str">
        <x:v>Small assembly rooms can be classified as Group B or as part of an accessory occupancy when applicable thresholds are met.</x:v>
      </x:c>
      <x:c r="N3" s="30" t="str">
        <x:v>Lobby, breakfast, meeting, or similar accessory assembly spaces.</x:v>
      </x:c>
      <x:c r="O3" s="30" t="str">
        <x:v>Calculate occupant load and area; determine whether separate Group A classification is triggered.</x:v>
      </x:c>
      <x:c r="P3" s="30" t="str">
        <x:v>Hard</x:v>
      </x:c>
      <x:c r="Q3" s="30" t="str">
        <x:v>Starter verified</x:v>
      </x:c>
      <x:c r="R3" s="30" t="str">
        <x:v>https://codes.iccsafe.org/content/IBC2021V2.0/chapter-3-occupancy-classification-and-use</x:v>
      </x:c>
      <x:c r="S3" s="30" t="str">
        <x:v>2026-09-29</x:v>
      </x:c>
      <x:c r="T3" s="30" t="str">
        <x:v>Useful for hotel public/meeting spaces.</x:v>
      </x:c>
    </x:row>
    <x:row r="4">
      <x:c r="A4" s="30" t="str">
        <x:v>IBC-R1-003</x:v>
      </x:c>
      <x:c r="B4" s="30" t="str">
        <x:v>Fire Protection</x:v>
      </x:c>
      <x:c r="C4" s="30" t="str">
        <x:v>Automatic sprinkler required for Group R</x:v>
      </x:c>
      <x:c r="D4" s="30" t="str">
        <x:v>requirement</x:v>
      </x:c>
      <x:c r="E4" s="30" t="str">
        <x:v>2021 IBC</x:v>
      </x:c>
      <x:c r="F4" s="30" t="str">
        <x:v>903.2.8</x:v>
      </x:c>
      <x:c r="G4" s="30" t="str">
        <x:v>R-1</x:v>
      </x:c>
      <x:c r="H4" s="30" t="str">
        <x:v>NFPA 13 assumed</x:v>
      </x:c>
      <x:c r="I4" s="30" t="str"/>
      <x:c r="J4" s="30" t="str">
        <x:v>requires</x:v>
      </x:c>
      <x:c r="K4" s="30" t="str">
        <x:v>Automatic sprinkler system</x:v>
      </x:c>
      <x:c r="L4" s="30" t="str">
        <x:v>system</x:v>
      </x:c>
      <x:c r="M4" s="30" t="str">
        <x:v>Group R fire areas require automatic sprinkler protection throughout in accordance with Section 903.3.</x:v>
      </x:c>
      <x:c r="N4" s="30" t="str">
        <x:v>New Group R-1 hotel.</x:v>
      </x:c>
      <x:c r="O4" s="30" t="str">
        <x:v>Boolean check: sprinkler system provided throughout.</x:v>
      </x:c>
      <x:c r="P4" s="30" t="str">
        <x:v>Hard</x:v>
      </x:c>
      <x:c r="Q4" s="30" t="str">
        <x:v>Starter verified</x:v>
      </x:c>
      <x:c r="R4" s="30" t="str">
        <x:v>https://codes.iccsafe.org/content/IBC2021V2.0/chapter-9-fire-protection-and-life-safety-systems</x:v>
      </x:c>
      <x:c r="S4" s="30" t="str">
        <x:v>2026-09-29</x:v>
      </x:c>
      <x:c r="T4" s="30" t="str">
        <x:v>Prototype assumption: fully sprinklered.</x:v>
      </x:c>
    </x:row>
    <x:row r="5">
      <x:c r="A5" s="30" t="str">
        <x:v>IBC-R1-004</x:v>
      </x:c>
      <x:c r="B5" s="30" t="str">
        <x:v>Height / Stories</x:v>
      </x:c>
      <x:c r="C5" s="30" t="str">
        <x:v>Allowable height and stories depend on occupancy, construction type, and sprinklers</x:v>
      </x:c>
      <x:c r="D5" s="30" t="str">
        <x:v>lookup</x:v>
      </x:c>
      <x:c r="E5" s="30" t="str">
        <x:v>2021 IBC</x:v>
      </x:c>
      <x:c r="F5" s="30" t="str">
        <x:v>504.1</x:v>
      </x:c>
      <x:c r="G5" s="30" t="str">
        <x:v>R-1</x:v>
      </x:c>
      <x:c r="H5" s="30" t="str">
        <x:v>NFPA 13</x:v>
      </x:c>
      <x:c r="I5" s="30" t="str">
        <x:v>Type II TBD</x:v>
      </x:c>
      <x:c r="J5" s="30" t="str">
        <x:v>lookup</x:v>
      </x:c>
      <x:c r="K5" s="30" t="str">
        <x:v>Table 504.3 / 504.4</x:v>
      </x:c>
      <x:c r="L5" s="30" t="str">
        <x:v>lookup</x:v>
      </x:c>
      <x:c r="M5" s="30" t="str">
        <x:v>Building height and number of stories are determined by occupancy classification, construction type, and sprinkler protection.</x:v>
      </x:c>
      <x:c r="N5" s="30" t="str">
        <x:v>Always.</x:v>
      </x:c>
      <x:c r="O5" s="30" t="str">
        <x:v>Lookup prototype variables against Chapter 5 tables.</x:v>
      </x:c>
      <x:c r="P5" s="30" t="str">
        <x:v>Hard</x:v>
      </x:c>
      <x:c r="Q5" s="30" t="str">
        <x:v>Starter verified</x:v>
      </x:c>
      <x:c r="R5" s="30" t="str">
        <x:v>https://codes.iccsafe.org/content/IBC2021V2.0/chapter-5-general-building-heights-and-areas</x:v>
      </x:c>
      <x:c r="S5" s="30" t="str">
        <x:v>2026-09-29</x:v>
      </x:c>
      <x:c r="T5" s="30" t="str">
        <x:v>Prototype is fixed at five stories; construction subtype remains to be confirmed.</x:v>
      </x:c>
    </x:row>
    <x:row r="6">
      <x:c r="A6" s="30" t="str">
        <x:v>IBC-R1-005</x:v>
      </x:c>
      <x:c r="B6" s="30" t="str">
        <x:v>Height / Stories</x:v>
      </x:c>
      <x:c r="C6" s="30" t="str">
        <x:v>R occupancy sprinklered Type IIA allowable height</x:v>
      </x:c>
      <x:c r="D6" s="30" t="str">
        <x:v>numeric_threshold</x:v>
      </x:c>
      <x:c r="E6" s="30" t="str">
        <x:v>2021 IBC</x:v>
      </x:c>
      <x:c r="F6" s="30" t="str">
        <x:v>Table 504.3</x:v>
      </x:c>
      <x:c r="G6" s="30" t="str">
        <x:v>R</x:v>
      </x:c>
      <x:c r="H6" s="30" t="str">
        <x:v>NFPA 13</x:v>
      </x:c>
      <x:c r="I6" s="30" t="str">
        <x:v>IIA</x:v>
      </x:c>
      <x:c r="J6" s="30" t="str">
        <x:v>&lt;=</x:v>
      </x:c>
      <x:c r="K6" s="30" t="str">
        <x:v>85</x:v>
      </x:c>
      <x:c r="L6" s="30" t="str">
        <x:v>ft</x:v>
      </x:c>
      <x:c r="M6" s="30" t="str">
        <x:v>For Group R with NFPA 13 sprinklers, Type IIA allowable building height is 85 feet above grade plane.</x:v>
      </x:c>
      <x:c r="N6" s="30" t="str">
        <x:v>Group R; NFPA 13; Type IIA.</x:v>
      </x:c>
      <x:c r="O6" s="30" t="str">
        <x:v>Compare proposed building height to 85 ft.</x:v>
      </x:c>
      <x:c r="P6" s="30" t="str">
        <x:v>Hard</x:v>
      </x:c>
      <x:c r="Q6" s="30" t="str">
        <x:v>Starter verified</x:v>
      </x:c>
      <x:c r="R6" s="30" t="str">
        <x:v>https://codes.iccsafe.org/content/IBC2021V2.0/chapter-5-general-building-heights-and-areas</x:v>
      </x:c>
      <x:c r="S6" s="30" t="str">
        <x:v>2026-09-29</x:v>
      </x:c>
      <x:c r="T6" s="30" t="str">
        <x:v>Keep until RNGD confirms IIA vs IIB.</x:v>
      </x:c>
    </x:row>
    <x:row r="7">
      <x:c r="A7" s="30" t="str">
        <x:v>IBC-R1-006</x:v>
      </x:c>
      <x:c r="B7" s="30" t="str">
        <x:v>Height / Stories</x:v>
      </x:c>
      <x:c r="C7" s="30" t="str">
        <x:v>R occupancy sprinklered Type IIB allowable height</x:v>
      </x:c>
      <x:c r="D7" s="30" t="str">
        <x:v>numeric_threshold</x:v>
      </x:c>
      <x:c r="E7" s="30" t="str">
        <x:v>2021 IBC</x:v>
      </x:c>
      <x:c r="F7" s="30" t="str">
        <x:v>Table 504.3</x:v>
      </x:c>
      <x:c r="G7" s="30" t="str">
        <x:v>R</x:v>
      </x:c>
      <x:c r="H7" s="30" t="str">
        <x:v>NFPA 13</x:v>
      </x:c>
      <x:c r="I7" s="30" t="str">
        <x:v>IIB</x:v>
      </x:c>
      <x:c r="J7" s="30" t="str">
        <x:v>&lt;=</x:v>
      </x:c>
      <x:c r="K7" s="30" t="str">
        <x:v>75</x:v>
      </x:c>
      <x:c r="L7" s="30" t="str">
        <x:v>ft</x:v>
      </x:c>
      <x:c r="M7" s="30" t="str">
        <x:v>For Group R with NFPA 13 sprinklers, Type IIB allowable building height is 75 feet above grade plane.</x:v>
      </x:c>
      <x:c r="N7" s="30" t="str">
        <x:v>Group R; NFPA 13; Type IIB.</x:v>
      </x:c>
      <x:c r="O7" s="30" t="str">
        <x:v>Compare proposed building height to 75 ft.</x:v>
      </x:c>
      <x:c r="P7" s="30" t="str">
        <x:v>Hard</x:v>
      </x:c>
      <x:c r="Q7" s="30" t="str">
        <x:v>Starter verified</x:v>
      </x:c>
      <x:c r="R7" s="30" t="str">
        <x:v>https://codes.iccsafe.org/content/IBC2021V2.0/chapter-5-general-building-heights-and-areas</x:v>
      </x:c>
      <x:c r="S7" s="30" t="str">
        <x:v>2026-09-29</x:v>
      </x:c>
      <x:c r="T7" s="30" t="str">
        <x:v>Keep until RNGD confirms IIA vs IIB.</x:v>
      </x:c>
    </x:row>
    <x:row r="8">
      <x:c r="A8" s="30" t="str">
        <x:v>IBC-R1-007</x:v>
      </x:c>
      <x:c r="B8" s="30" t="str">
        <x:v>Height / Stories</x:v>
      </x:c>
      <x:c r="C8" s="30" t="str">
        <x:v>R-1 sprinklered Type IIA allowable stories</x:v>
      </x:c>
      <x:c r="D8" s="30" t="str">
        <x:v>numeric_threshold</x:v>
      </x:c>
      <x:c r="E8" s="30" t="str">
        <x:v>2021 IBC</x:v>
      </x:c>
      <x:c r="F8" s="30" t="str">
        <x:v>Table 504.4</x:v>
      </x:c>
      <x:c r="G8" s="30" t="str">
        <x:v>R-1</x:v>
      </x:c>
      <x:c r="H8" s="30" t="str">
        <x:v>NFPA 13</x:v>
      </x:c>
      <x:c r="I8" s="30" t="str">
        <x:v>IIA</x:v>
      </x:c>
      <x:c r="J8" s="30" t="str">
        <x:v>&lt;=</x:v>
      </x:c>
      <x:c r="K8" s="30" t="str">
        <x:v>5</x:v>
      </x:c>
      <x:c r="L8" s="30" t="str">
        <x:v>stories above grade plane</x:v>
      </x:c>
      <x:c r="M8" s="30" t="str">
        <x:v>For Group R-1 with NFPA 13 sprinklers, Type IIA is limited to 5 stories above grade plane by the base table.</x:v>
      </x:c>
      <x:c r="N8" s="30" t="str">
        <x:v>R-1; NFPA 13; Type IIA.</x:v>
      </x:c>
      <x:c r="O8" s="30" t="str">
        <x:v>Compare proposed story count to 5.</x:v>
      </x:c>
      <x:c r="P8" s="30" t="str">
        <x:v>Hard</x:v>
      </x:c>
      <x:c r="Q8" s="30" t="str">
        <x:v>Starter verified</x:v>
      </x:c>
      <x:c r="R8" s="30" t="str">
        <x:v>https://codes.iccsafe.org/content/IBC2021V2.0/chapter-5-general-building-heights-and-areas</x:v>
      </x:c>
      <x:c r="S8" s="30" t="str">
        <x:v>2026-09-29</x:v>
      </x:c>
      <x:c r="T8" s="30" t="str">
        <x:v>Directly matches the current five-story prototype assumption.</x:v>
      </x:c>
    </x:row>
    <x:row r="9">
      <x:c r="A9" s="30" t="str">
        <x:v>IBC-R1-008</x:v>
      </x:c>
      <x:c r="B9" s="30" t="str">
        <x:v>Height / Stories</x:v>
      </x:c>
      <x:c r="C9" s="30" t="str">
        <x:v>R-1 sprinklered Type IIB allowable stories</x:v>
      </x:c>
      <x:c r="D9" s="30" t="str">
        <x:v>numeric_threshold</x:v>
      </x:c>
      <x:c r="E9" s="30" t="str">
        <x:v>2021 IBC</x:v>
      </x:c>
      <x:c r="F9" s="30" t="str">
        <x:v>Table 504.4</x:v>
      </x:c>
      <x:c r="G9" s="30" t="str">
        <x:v>R-1</x:v>
      </x:c>
      <x:c r="H9" s="30" t="str">
        <x:v>NFPA 13</x:v>
      </x:c>
      <x:c r="I9" s="30" t="str">
        <x:v>IIB</x:v>
      </x:c>
      <x:c r="J9" s="30" t="str">
        <x:v>&lt;=</x:v>
      </x:c>
      <x:c r="K9" s="30" t="str">
        <x:v>5</x:v>
      </x:c>
      <x:c r="L9" s="30" t="str">
        <x:v>stories above grade plane</x:v>
      </x:c>
      <x:c r="M9" s="30" t="str">
        <x:v>For Group R-1 with NFPA 13 sprinklers, Type IIB is limited to 5 stories above grade plane by the base table.</x:v>
      </x:c>
      <x:c r="N9" s="30" t="str">
        <x:v>R-1; NFPA 13; Type IIB.</x:v>
      </x:c>
      <x:c r="O9" s="30" t="str">
        <x:v>Compare proposed story count to 5.</x:v>
      </x:c>
      <x:c r="P9" s="30" t="str">
        <x:v>Hard</x:v>
      </x:c>
      <x:c r="Q9" s="30" t="str">
        <x:v>Starter verified</x:v>
      </x:c>
      <x:c r="R9" s="30" t="str">
        <x:v>https://codes.iccsafe.org/content/IBC2021V2.0/chapter-5-general-building-heights-and-areas</x:v>
      </x:c>
      <x:c r="S9" s="30" t="str">
        <x:v>2026-09-29</x:v>
      </x:c>
      <x:c r="T9" s="30" t="str">
        <x:v>Directly matches the current five-story prototype assumption.</x:v>
      </x:c>
    </x:row>
    <x:row r="10">
      <x:c r="A10" s="30" t="str">
        <x:v>IBC-R1-010</x:v>
      </x:c>
      <x:c r="B10" s="30" t="str">
        <x:v>Area</x:v>
      </x:c>
      <x:c r="C10" s="30" t="str">
        <x:v>R-1 Type IIA allowable area factor, multistory sprinklered</x:v>
      </x:c>
      <x:c r="D10" s="30" t="str">
        <x:v>numeric_threshold</x:v>
      </x:c>
      <x:c r="E10" s="30" t="str">
        <x:v>2021 IBC</x:v>
      </x:c>
      <x:c r="F10" s="30" t="str">
        <x:v>Table 506.2</x:v>
      </x:c>
      <x:c r="G10" s="30" t="str">
        <x:v>R-1</x:v>
      </x:c>
      <x:c r="H10" s="30" t="str">
        <x:v>NFPA 13</x:v>
      </x:c>
      <x:c r="I10" s="30" t="str">
        <x:v>IIA</x:v>
      </x:c>
      <x:c r="J10" s="30" t="str">
        <x:v>&lt;=</x:v>
      </x:c>
      <x:c r="K10" s="30" t="str">
        <x:v>72000</x:v>
      </x:c>
      <x:c r="L10" s="30" t="str">
        <x:v>sf per story base factor</x:v>
      </x:c>
      <x:c r="M10" s="30" t="str">
        <x:v>For a multistory sprinklered R-1 building, the Type IIA tabular allowable area factor is 72,000 square feet.</x:v>
      </x:c>
      <x:c r="N10" s="30" t="str">
        <x:v>R-1; Type IIA; multistory; NFPA 13.</x:v>
      </x:c>
      <x:c r="O10" s="30" t="str">
        <x:v>Compare calculated allowable-area method to proposed floor area.</x:v>
      </x:c>
      <x:c r="P10" s="30" t="str">
        <x:v>Hard</x:v>
      </x:c>
      <x:c r="Q10" s="30" t="str">
        <x:v>Starter verified</x:v>
      </x:c>
      <x:c r="R10" s="30" t="str">
        <x:v>https://codes.iccsafe.org/content/IBC2021V2.0/chapter-5-general-building-heights-and-areas</x:v>
      </x:c>
      <x:c r="S10" s="30" t="str">
        <x:v>2026-09-29</x:v>
      </x:c>
      <x:c r="T10" s="30" t="str">
        <x:v>Tabular base factor; not a complete final allowable-area calculation.</x:v>
      </x:c>
    </x:row>
    <x:row r="11">
      <x:c r="A11" s="30" t="str">
        <x:v>IBC-R1-011</x:v>
      </x:c>
      <x:c r="B11" s="30" t="str">
        <x:v>Area</x:v>
      </x:c>
      <x:c r="C11" s="30" t="str">
        <x:v>R-1 Type IIB allowable area factor, multistory sprinklered</x:v>
      </x:c>
      <x:c r="D11" s="30" t="str">
        <x:v>numeric_threshold</x:v>
      </x:c>
      <x:c r="E11" s="30" t="str">
        <x:v>2021 IBC</x:v>
      </x:c>
      <x:c r="F11" s="30" t="str">
        <x:v>Table 506.2</x:v>
      </x:c>
      <x:c r="G11" s="30" t="str">
        <x:v>R-1</x:v>
      </x:c>
      <x:c r="H11" s="30" t="str">
        <x:v>NFPA 13</x:v>
      </x:c>
      <x:c r="I11" s="30" t="str">
        <x:v>IIB</x:v>
      </x:c>
      <x:c r="J11" s="30" t="str">
        <x:v>&lt;=</x:v>
      </x:c>
      <x:c r="K11" s="30" t="str">
        <x:v>48000</x:v>
      </x:c>
      <x:c r="L11" s="30" t="str">
        <x:v>sf per story base factor</x:v>
      </x:c>
      <x:c r="M11" s="30" t="str">
        <x:v>For a multistory sprinklered R-1 building, the Type IIB tabular allowable area factor is 48,000 square feet.</x:v>
      </x:c>
      <x:c r="N11" s="30" t="str">
        <x:v>R-1; Type IIB; multistory; NFPA 13.</x:v>
      </x:c>
      <x:c r="O11" s="30" t="str">
        <x:v>Compare calculated allowable-area method to proposed floor area.</x:v>
      </x:c>
      <x:c r="P11" s="30" t="str">
        <x:v>Hard</x:v>
      </x:c>
      <x:c r="Q11" s="30" t="str">
        <x:v>Starter verified</x:v>
      </x:c>
      <x:c r="R11" s="30" t="str">
        <x:v>https://codes.iccsafe.org/content/IBC2021V2.0/chapter-5-general-building-heights-and-areas</x:v>
      </x:c>
      <x:c r="S11" s="30" t="str">
        <x:v>2026-09-29</x:v>
      </x:c>
      <x:c r="T11" s="30" t="str">
        <x:v>Tabular base factor; not a complete final allowable-area calculation.</x:v>
      </x:c>
    </x:row>
    <x:row r="12">
      <x:c r="A12" s="30" t="str">
        <x:v>IBC-R1-012</x:v>
      </x:c>
      <x:c r="B12" s="30" t="str">
        <x:v>High-Rise Screen</x:v>
      </x:c>
      <x:c r="C12" s="30" t="str">
        <x:v>High-rise threshold screen</x:v>
      </x:c>
      <x:c r="D12" s="30" t="str">
        <x:v>numeric_threshold</x:v>
      </x:c>
      <x:c r="E12" s="30" t="str">
        <x:v>2021 IBC</x:v>
      </x:c>
      <x:c r="F12" s="30" t="str">
        <x:v>Section 202 / 403</x:v>
      </x:c>
      <x:c r="G12" s="30" t="str">
        <x:v>All</x:v>
      </x:c>
      <x:c r="H12" s="30" t="str"/>
      <x:c r="I12" s="30" t="str"/>
      <x:c r="J12" s="30" t="str">
        <x:v>&gt;</x:v>
      </x:c>
      <x:c r="K12" s="30" t="str">
        <x:v>75</x:v>
      </x:c>
      <x:c r="L12" s="30" t="str">
        <x:v>ft to occupied floor</x:v>
      </x:c>
      <x:c r="M12" s="30" t="str">
        <x:v>High-rise provisions are triggered when an occupied floor is located more than 75 feet above the lowest level of fire department vehicle access.</x:v>
      </x:c>
      <x:c r="N12" s="30" t="str">
        <x:v>Any project near the threshold.</x:v>
      </x:c>
      <x:c r="O12" s="30" t="str">
        <x:v>Calculate elevation of highest occupied floor relative to lowest fire-department vehicle access.</x:v>
      </x:c>
      <x:c r="P12" s="30" t="str">
        <x:v>Hard</x:v>
      </x:c>
      <x:c r="Q12" s="30" t="str">
        <x:v>Starter verified</x:v>
      </x:c>
      <x:c r="R12" s="30" t="str">
        <x:v>https://codes.iccsafe.org/content/IBC2021V2.0/chapter-4-special-detailed-requirements-based-on-occupancy-and-use</x:v>
      </x:c>
      <x:c r="S12" s="30" t="str">
        <x:v>2026-09-29</x:v>
      </x:c>
      <x:c r="T12" s="30" t="str">
        <x:v>Useful screening rule even though the current prototype is only five stories.</x:v>
      </x:c>
    </x:row>
    <x:row r="13">
      <x:c r="A13" s="30" t="str">
        <x:v>IBC-R1-013</x:v>
      </x:c>
      <x:c r="B13" s="30" t="str">
        <x:v>Egress</x:v>
      </x:c>
      <x:c r="C13" s="30" t="str">
        <x:v>R-1 single-exit space maximum occupant load</x:v>
      </x:c>
      <x:c r="D13" s="30" t="str">
        <x:v>numeric_threshold</x:v>
      </x:c>
      <x:c r="E13" s="30" t="str">
        <x:v>2021 IBC</x:v>
      </x:c>
      <x:c r="F13" s="30" t="str">
        <x:v>Table 1006.2.1</x:v>
      </x:c>
      <x:c r="G13" s="30" t="str">
        <x:v>R-1</x:v>
      </x:c>
      <x:c r="H13" s="30" t="str">
        <x:v>Sprinklered</x:v>
      </x:c>
      <x:c r="I13" s="30" t="str"/>
      <x:c r="J13" s="30" t="str">
        <x:v>&lt;=</x:v>
      </x:c>
      <x:c r="K13" s="30" t="str">
        <x:v>10</x:v>
      </x:c>
      <x:c r="L13" s="30" t="str">
        <x:v>occupants</x:v>
      </x:c>
      <x:c r="M13" s="30" t="str">
        <x:v>A Group R-1 space can use one exit/exit-access doorway only within the table occupant-load threshold.</x:v>
      </x:c>
      <x:c r="N13" s="30" t="str">
        <x:v>Sprinklered R-1 space relying on one exit/exit-access doorway.</x:v>
      </x:c>
      <x:c r="O13" s="30" t="str">
        <x:v>Calculate occupant load and compare to 10.</x:v>
      </x:c>
      <x:c r="P13" s="30" t="str">
        <x:v>Hard</x:v>
      </x:c>
      <x:c r="Q13" s="30" t="str">
        <x:v>Starter verified</x:v>
      </x:c>
      <x:c r="R13" s="30" t="str">
        <x:v>https://codes.iccsafe.org/content/IBC2021V2.0/chapter-10-means-of-egress</x:v>
      </x:c>
      <x:c r="S13" s="30" t="str">
        <x:v>2026-09-29</x:v>
      </x:c>
      <x:c r="T13" s="30" t="str">
        <x:v>Also subject to common-path limit.</x:v>
      </x:c>
    </x:row>
    <x:row r="14">
      <x:c r="A14" s="30" t="str">
        <x:v>IBC-R1-014</x:v>
      </x:c>
      <x:c r="B14" s="30" t="str">
        <x:v>Egress</x:v>
      </x:c>
      <x:c r="C14" s="30" t="str">
        <x:v>R-1 single-exit common path maximum</x:v>
      </x:c>
      <x:c r="D14" s="30" t="str">
        <x:v>numeric_threshold</x:v>
      </x:c>
      <x:c r="E14" s="30" t="str">
        <x:v>2021 IBC</x:v>
      </x:c>
      <x:c r="F14" s="30" t="str">
        <x:v>Table 1006.2.1</x:v>
      </x:c>
      <x:c r="G14" s="30" t="str">
        <x:v>R-1</x:v>
      </x:c>
      <x:c r="H14" s="30" t="str">
        <x:v>Sprinklered</x:v>
      </x:c>
      <x:c r="I14" s="30" t="str"/>
      <x:c r="J14" s="30" t="str">
        <x:v>&lt;=</x:v>
      </x:c>
      <x:c r="K14" s="30" t="str">
        <x:v>75</x:v>
      </x:c>
      <x:c r="L14" s="30" t="str">
        <x:v>ft</x:v>
      </x:c>
      <x:c r="M14" s="30" t="str">
        <x:v>For sprinklered Group R-1 spaces using one exit/exit-access doorway, common path of egress travel is limited to 75 feet.</x:v>
      </x:c>
      <x:c r="N14" s="30" t="str">
        <x:v>Sprinklered R-1 space relying on one exit/exit-access doorway.</x:v>
      </x:c>
      <x:c r="O14" s="30" t="str">
        <x:v>Measure common path from most remote point to divergence.</x:v>
      </x:c>
      <x:c r="P14" s="30" t="str">
        <x:v>Hard</x:v>
      </x:c>
      <x:c r="Q14" s="30" t="str">
        <x:v>Starter verified</x:v>
      </x:c>
      <x:c r="R14" s="30" t="str">
        <x:v>https://codes.iccsafe.org/content/IBC2021V2.0/chapter-10-means-of-egress</x:v>
      </x:c>
      <x:c r="S14" s="30" t="str">
        <x:v>2026-09-29</x:v>
      </x:c>
      <x:c r="T14" s="30" t="str">
        <x:v>High-value early floor-plan constraint.</x:v>
      </x:c>
    </x:row>
    <x:row r="15">
      <x:c r="A15" s="30" t="str">
        <x:v>IBC-R1-015</x:v>
      </x:c>
      <x:c r="B15" s="30" t="str">
        <x:v>Egress</x:v>
      </x:c>
      <x:c r="C15" s="30" t="str">
        <x:v>Minimum exits per story: 1-500 occupants</x:v>
      </x:c>
      <x:c r="D15" s="30" t="str">
        <x:v>numeric_threshold</x:v>
      </x:c>
      <x:c r="E15" s="30" t="str">
        <x:v>2021 IBC</x:v>
      </x:c>
      <x:c r="F15" s="30" t="str">
        <x:v>Table 1006.3.3</x:v>
      </x:c>
      <x:c r="G15" s="30" t="str">
        <x:v>All</x:v>
      </x:c>
      <x:c r="H15" s="30" t="str"/>
      <x:c r="I15" s="30" t="str"/>
      <x:c r="J15" s="30" t="str">
        <x:v>eq</x:v>
      </x:c>
      <x:c r="K15" s="30" t="str">
        <x:v>2</x:v>
      </x:c>
      <x:c r="L15" s="30" t="str">
        <x:v>exits/access to exits</x:v>
      </x:c>
      <x:c r="M15" s="30" t="str">
        <x:v>Stories with an occupant load from 1 through 500 generally require at least 2 exits or access to exits.</x:v>
      </x:c>
      <x:c r="N15" s="30" t="str">
        <x:v>Story occupant load 1-500; subject to exceptions.</x:v>
      </x:c>
      <x:c r="O15" s="30" t="str">
        <x:v>Calculate story occupant load, then set minimum exits.</x:v>
      </x:c>
      <x:c r="P15" s="30" t="str">
        <x:v>Hard</x:v>
      </x:c>
      <x:c r="Q15" s="30" t="str">
        <x:v>Starter verified</x:v>
      </x:c>
      <x:c r="R15" s="30" t="str">
        <x:v>https://codes.iccsafe.org/content/IBC2021V2.0/chapter-10-means-of-egress</x:v>
      </x:c>
      <x:c r="S15" s="30" t="str">
        <x:v>2026-09-29</x:v>
      </x:c>
      <x:c r="T15" s="30" t="str"/>
    </x:row>
    <x:row r="16">
      <x:c r="A16" s="30" t="str">
        <x:v>IBC-R1-016</x:v>
      </x:c>
      <x:c r="B16" s="30" t="str">
        <x:v>Egress</x:v>
      </x:c>
      <x:c r="C16" s="30" t="str">
        <x:v>Minimum exits per story: 501-1000 occupants</x:v>
      </x:c>
      <x:c r="D16" s="30" t="str">
        <x:v>numeric_threshold</x:v>
      </x:c>
      <x:c r="E16" s="30" t="str">
        <x:v>2021 IBC</x:v>
      </x:c>
      <x:c r="F16" s="30" t="str">
        <x:v>Table 1006.3.3</x:v>
      </x:c>
      <x:c r="G16" s="30" t="str">
        <x:v>All</x:v>
      </x:c>
      <x:c r="H16" s="30" t="str"/>
      <x:c r="I16" s="30" t="str"/>
      <x:c r="J16" s="30" t="str">
        <x:v>eq</x:v>
      </x:c>
      <x:c r="K16" s="30" t="str">
        <x:v>3</x:v>
      </x:c>
      <x:c r="L16" s="30" t="str">
        <x:v>exits/access to exits</x:v>
      </x:c>
      <x:c r="M16" s="30" t="str">
        <x:v>Stories with an occupant load from 501 through 1,000 generally require at least 3 exits or access to exits.</x:v>
      </x:c>
      <x:c r="N16" s="30" t="str">
        <x:v>Story occupant load 501-1000.</x:v>
      </x:c>
      <x:c r="O16" s="30" t="str">
        <x:v>Calculate story occupant load, then set minimum exits.</x:v>
      </x:c>
      <x:c r="P16" s="30" t="str">
        <x:v>Hard</x:v>
      </x:c>
      <x:c r="Q16" s="30" t="str">
        <x:v>Starter verified</x:v>
      </x:c>
      <x:c r="R16" s="30" t="str">
        <x:v>https://codes.iccsafe.org/content/IBC2021V2.0/chapter-10-means-of-egress</x:v>
      </x:c>
      <x:c r="S16" s="30" t="str">
        <x:v>2026-09-29</x:v>
      </x:c>
      <x:c r="T16" s="30" t="str"/>
    </x:row>
    <x:row r="17">
      <x:c r="A17" s="30" t="str">
        <x:v>IBC-R1-017</x:v>
      </x:c>
      <x:c r="B17" s="30" t="str">
        <x:v>Egress</x:v>
      </x:c>
      <x:c r="C17" s="30" t="str">
        <x:v>Minimum exits per story: over 1000 occupants</x:v>
      </x:c>
      <x:c r="D17" s="30" t="str">
        <x:v>numeric_threshold</x:v>
      </x:c>
      <x:c r="E17" s="30" t="str">
        <x:v>2021 IBC</x:v>
      </x:c>
      <x:c r="F17" s="30" t="str">
        <x:v>Table 1006.3.3</x:v>
      </x:c>
      <x:c r="G17" s="30" t="str">
        <x:v>All</x:v>
      </x:c>
      <x:c r="H17" s="30" t="str"/>
      <x:c r="I17" s="30" t="str"/>
      <x:c r="J17" s="30" t="str">
        <x:v>eq</x:v>
      </x:c>
      <x:c r="K17" s="30" t="str">
        <x:v>4</x:v>
      </x:c>
      <x:c r="L17" s="30" t="str">
        <x:v>exits/access to exits</x:v>
      </x:c>
      <x:c r="M17" s="30" t="str">
        <x:v>Stories with an occupant load greater than 1,000 generally require at least 4 exits or access to exits.</x:v>
      </x:c>
      <x:c r="N17" s="30" t="str">
        <x:v>Story occupant load &gt;1000.</x:v>
      </x:c>
      <x:c r="O17" s="30" t="str">
        <x:v>Calculate story occupant load, then set minimum exits.</x:v>
      </x:c>
      <x:c r="P17" s="30" t="str">
        <x:v>Hard</x:v>
      </x:c>
      <x:c r="Q17" s="30" t="str">
        <x:v>Starter verified</x:v>
      </x:c>
      <x:c r="R17" s="30" t="str">
        <x:v>https://codes.iccsafe.org/content/IBC2021V2.0/chapter-10-means-of-egress</x:v>
      </x:c>
      <x:c r="S17" s="30" t="str">
        <x:v>2026-09-29</x:v>
      </x:c>
      <x:c r="T17" s="30" t="str"/>
    </x:row>
    <x:row r="18">
      <x:c r="A18" s="30" t="str">
        <x:v>IBC-R1-018</x:v>
      </x:c>
      <x:c r="B18" s="30" t="str">
        <x:v>Egress</x:v>
      </x:c>
      <x:c r="C18" s="30" t="str">
        <x:v>Exit separation in sprinklered building</x:v>
      </x:c>
      <x:c r="D18" s="30" t="str">
        <x:v>formula</x:v>
      </x:c>
      <x:c r="E18" s="30" t="str">
        <x:v>2021 IBC</x:v>
      </x:c>
      <x:c r="F18" s="30" t="str">
        <x:v>1007.1.1</x:v>
      </x:c>
      <x:c r="G18" s="30" t="str">
        <x:v>All</x:v>
      </x:c>
      <x:c r="H18" s="30" t="str">
        <x:v>Sprinklered</x:v>
      </x:c>
      <x:c r="I18" s="30" t="str"/>
      <x:c r="J18" s="30" t="str">
        <x:v>&gt;=</x:v>
      </x:c>
      <x:c r="K18" s="30" t="str">
        <x:v>1/3 of maximum overall diagonal</x:v>
      </x:c>
      <x:c r="L18" s="30" t="str">
        <x:v>ratio</x:v>
      </x:c>
      <x:c r="M18" s="30" t="str">
        <x:v>Where two exits or exit-access doorways are required in a sprinklered building, separation is generally at least one-third of the maximum overall diagonal of the area served.</x:v>
      </x:c>
      <x:c r="N18" s="30" t="str">
        <x:v>Two exits/exit-access doorways required; sprinklered building.</x:v>
      </x:c>
      <x:c r="O18" s="30" t="str">
        <x:v>Compute max overall diagonal x 1/3 and compare exit separation.</x:v>
      </x:c>
      <x:c r="P18" s="30" t="str">
        <x:v>Hard</x:v>
      </x:c>
      <x:c r="Q18" s="30" t="str">
        <x:v>Starter verified</x:v>
      </x:c>
      <x:c r="R18" s="30" t="str">
        <x:v>https://codes.iccsafe.org/content/IBC2021V2.0/chapter-10-means-of-egress</x:v>
      </x:c>
      <x:c r="S18" s="30" t="str">
        <x:v>2026-09-29</x:v>
      </x:c>
      <x:c r="T18" s="30" t="str"/>
    </x:row>
    <x:row r="19">
      <x:c r="A19" s="30" t="str">
        <x:v>IBC-R1-019</x:v>
      </x:c>
      <x:c r="B19" s="30" t="str">
        <x:v>Egress</x:v>
      </x:c>
      <x:c r="C19" s="30" t="str">
        <x:v>Stair minimum width</x:v>
      </x:c>
      <x:c r="D19" s="30" t="str">
        <x:v>numeric_threshold</x:v>
      </x:c>
      <x:c r="E19" s="30" t="str">
        <x:v>2021 IBC</x:v>
      </x:c>
      <x:c r="F19" s="30" t="str">
        <x:v>1011.2</x:v>
      </x:c>
      <x:c r="G19" s="30" t="str">
        <x:v>All</x:v>
      </x:c>
      <x:c r="H19" s="30" t="str"/>
      <x:c r="I19" s="30" t="str"/>
      <x:c r="J19" s="30" t="str">
        <x:v>&gt;=</x:v>
      </x:c>
      <x:c r="K19" s="30" t="str">
        <x:v>44</x:v>
      </x:c>
      <x:c r="L19" s="30" t="str">
        <x:v>in</x:v>
      </x:c>
      <x:c r="M19" s="30" t="str">
        <x:v>Required stairways are generally at least 44 inches wide.</x:v>
      </x:c>
      <x:c r="N19" s="30" t="str">
        <x:v>Required stairway; occupant load 50 or more.</x:v>
      </x:c>
      <x:c r="O19" s="30" t="str">
        <x:v>Compare stair clear width and egress capacity.</x:v>
      </x:c>
      <x:c r="P19" s="30" t="str">
        <x:v>Hard</x:v>
      </x:c>
      <x:c r="Q19" s="30" t="str">
        <x:v>Starter verified</x:v>
      </x:c>
      <x:c r="R19" s="30" t="str">
        <x:v>https://codes.iccsafe.org/content/IBC2021V2.0/chapter-10-means-of-egress</x:v>
      </x:c>
      <x:c r="S19" s="30" t="str">
        <x:v>2026-09-29</x:v>
      </x:c>
      <x:c r="T19" s="30" t="str">
        <x:v>Exception permits 36 inches for stairways serving occupant load under 50.</x:v>
      </x:c>
    </x:row>
    <x:row r="20">
      <x:c r="A20" s="30" t="str">
        <x:v>IBC-R1-020</x:v>
      </x:c>
      <x:c r="B20" s="30" t="str">
        <x:v>Egress</x:v>
      </x:c>
      <x:c r="C20" s="30" t="str">
        <x:v>Stair minimum width for occupant load under 50</x:v>
      </x:c>
      <x:c r="D20" s="30" t="str">
        <x:v>numeric_threshold</x:v>
      </x:c>
      <x:c r="E20" s="30" t="str">
        <x:v>2021 IBC</x:v>
      </x:c>
      <x:c r="F20" s="30" t="str">
        <x:v>1011.2 Exception 1</x:v>
      </x:c>
      <x:c r="G20" s="30" t="str">
        <x:v>All</x:v>
      </x:c>
      <x:c r="H20" s="30" t="str"/>
      <x:c r="I20" s="30" t="str"/>
      <x:c r="J20" s="30" t="str">
        <x:v>&gt;=</x:v>
      </x:c>
      <x:c r="K20" s="30" t="str">
        <x:v>36</x:v>
      </x:c>
      <x:c r="L20" s="30" t="str">
        <x:v>in</x:v>
      </x:c>
      <x:c r="M20" s="30" t="str">
        <x:v>Stairways serving an occupant load less than 50 may be at least 36 inches wide.</x:v>
      </x:c>
      <x:c r="N20" s="30" t="str">
        <x:v>Stair occupant load &lt;50.</x:v>
      </x:c>
      <x:c r="O20" s="30" t="str">
        <x:v>If occupant load &lt;50, compare clear width to 36 in.</x:v>
      </x:c>
      <x:c r="P20" s="30" t="str">
        <x:v>Hard</x:v>
      </x:c>
      <x:c r="Q20" s="30" t="str">
        <x:v>Starter verified</x:v>
      </x:c>
      <x:c r="R20" s="30" t="str">
        <x:v>https://codes.iccsafe.org/content/IBC2021V2.0/chapter-10-means-of-egress</x:v>
      </x:c>
      <x:c r="S20" s="30" t="str">
        <x:v>2026-09-29</x:v>
      </x:c>
      <x:c r="T20" s="30" t="str"/>
    </x:row>
    <x:row r="21">
      <x:c r="A21" s="30" t="str">
        <x:v>IBC-R1-021</x:v>
      </x:c>
      <x:c r="B21" s="30" t="str">
        <x:v>Egress</x:v>
      </x:c>
      <x:c r="C21" s="30" t="str">
        <x:v>Stair maximum riser height</x:v>
      </x:c>
      <x:c r="D21" s="30" t="str">
        <x:v>numeric_threshold</x:v>
      </x:c>
      <x:c r="E21" s="30" t="str">
        <x:v>2021 IBC</x:v>
      </x:c>
      <x:c r="F21" s="30" t="str">
        <x:v>1011.5.2</x:v>
      </x:c>
      <x:c r="G21" s="30" t="str">
        <x:v>All</x:v>
      </x:c>
      <x:c r="H21" s="30" t="str"/>
      <x:c r="I21" s="30" t="str"/>
      <x:c r="J21" s="30" t="str">
        <x:v>&lt;=</x:v>
      </x:c>
      <x:c r="K21" s="30" t="str">
        <x:v>7</x:v>
      </x:c>
      <x:c r="L21" s="30" t="str">
        <x:v>in</x:v>
      </x:c>
      <x:c r="M21" s="30" t="str">
        <x:v>Typical egress stair riser height is limited to 7 inches maximum.</x:v>
      </x:c>
      <x:c r="N21" s="30" t="str">
        <x:v>Standard egress stair; exceptions may apply.</x:v>
      </x:c>
      <x:c r="O21" s="30" t="str">
        <x:v>Compare proposed riser to 7 in.</x:v>
      </x:c>
      <x:c r="P21" s="30" t="str">
        <x:v>Hard</x:v>
      </x:c>
      <x:c r="Q21" s="30" t="str">
        <x:v>Starter - verify before final</x:v>
      </x:c>
      <x:c r="R21" s="30" t="str">
        <x:v>https://codes.iccsafe.org/content/IBC2021V2.0/chapter-10-means-of-egress</x:v>
      </x:c>
      <x:c r="S21" s="30" t="str">
        <x:v>2026-09-29</x:v>
      </x:c>
      <x:c r="T21" s="30" t="str"/>
    </x:row>
    <x:row r="22">
      <x:c r="A22" s="30" t="str">
        <x:v>IBC-R1-022</x:v>
      </x:c>
      <x:c r="B22" s="30" t="str">
        <x:v>Egress</x:v>
      </x:c>
      <x:c r="C22" s="30" t="str">
        <x:v>Stair minimum tread depth</x:v>
      </x:c>
      <x:c r="D22" s="30" t="str">
        <x:v>numeric_threshold</x:v>
      </x:c>
      <x:c r="E22" s="30" t="str">
        <x:v>2021 IBC</x:v>
      </x:c>
      <x:c r="F22" s="30" t="str">
        <x:v>1011.5.2</x:v>
      </x:c>
      <x:c r="G22" s="30" t="str">
        <x:v>All</x:v>
      </x:c>
      <x:c r="H22" s="30" t="str"/>
      <x:c r="I22" s="30" t="str"/>
      <x:c r="J22" s="30" t="str">
        <x:v>&gt;=</x:v>
      </x:c>
      <x:c r="K22" s="30" t="str">
        <x:v>11</x:v>
      </x:c>
      <x:c r="L22" s="30" t="str">
        <x:v>in</x:v>
      </x:c>
      <x:c r="M22" s="30" t="str">
        <x:v>Typical rectangular egress stair tread depth is 11 inches minimum.</x:v>
      </x:c>
      <x:c r="N22" s="30" t="str">
        <x:v>Standard egress stair; exceptions may apply.</x:v>
      </x:c>
      <x:c r="O22" s="30" t="str">
        <x:v>Compare proposed tread depth to 11 in.</x:v>
      </x:c>
      <x:c r="P22" s="30" t="str">
        <x:v>Hard</x:v>
      </x:c>
      <x:c r="Q22" s="30" t="str">
        <x:v>Starter - verify before final</x:v>
      </x:c>
      <x:c r="R22" s="30" t="str">
        <x:v>https://codes.iccsafe.org/content/IBC2021V2.0/chapter-10-means-of-egress</x:v>
      </x:c>
      <x:c r="S22" s="30" t="str">
        <x:v>2026-09-29</x:v>
      </x:c>
      <x:c r="T22" s="30" t="str"/>
    </x:row>
    <x:row r="23">
      <x:c r="A23" s="30" t="str">
        <x:v>IBC-R1-023</x:v>
      </x:c>
      <x:c r="B23" s="30" t="str">
        <x:v>Egress</x:v>
      </x:c>
      <x:c r="C23" s="30" t="str">
        <x:v>R exit access travel distance, sprinklered</x:v>
      </x:c>
      <x:c r="D23" s="30" t="str">
        <x:v>numeric_threshold</x:v>
      </x:c>
      <x:c r="E23" s="30" t="str">
        <x:v>2021 IBC</x:v>
      </x:c>
      <x:c r="F23" s="30" t="str">
        <x:v>Table 1017.2</x:v>
      </x:c>
      <x:c r="G23" s="30" t="str">
        <x:v>R</x:v>
      </x:c>
      <x:c r="H23" s="30" t="str">
        <x:v>Sprinklered</x:v>
      </x:c>
      <x:c r="I23" s="30" t="str"/>
      <x:c r="J23" s="30" t="str">
        <x:v>&lt;=</x:v>
      </x:c>
      <x:c r="K23" s="30" t="str">
        <x:v>250</x:v>
      </x:c>
      <x:c r="L23" s="30" t="str">
        <x:v>ft</x:v>
      </x:c>
      <x:c r="M23" s="30" t="str">
        <x:v>For Group R in a sprinklered building, exit access travel distance is generally limited to 250 feet.</x:v>
      </x:c>
      <x:c r="N23" s="30" t="str">
        <x:v>Group R; sprinklered; subject to listed modifications.</x:v>
      </x:c>
      <x:c r="O23" s="30" t="str">
        <x:v>Measure actual path from most remote point to an exit.</x:v>
      </x:c>
      <x:c r="P23" s="30" t="str">
        <x:v>Hard</x:v>
      </x:c>
      <x:c r="Q23" s="30" t="str">
        <x:v>Starter verified</x:v>
      </x:c>
      <x:c r="R23" s="30" t="str">
        <x:v>https://codes.iccsafe.org/content/IBC2021V2.0/chapter-10-means-of-egress</x:v>
      </x:c>
      <x:c r="S23" s="30" t="str">
        <x:v>2026-09-29</x:v>
      </x:c>
      <x:c r="T23" s="30" t="str"/>
    </x:row>
    <x:row r="24">
      <x:c r="A24" s="30" t="str">
        <x:v>IBC-R1-024</x:v>
      </x:c>
      <x:c r="B24" s="30" t="str">
        <x:v>Corridors</x:v>
      </x:c>
      <x:c r="C24" s="30" t="str">
        <x:v>R corridor fire-resistance rating</x:v>
      </x:c>
      <x:c r="D24" s="30" t="str">
        <x:v>numeric_threshold</x:v>
      </x:c>
      <x:c r="E24" s="30" t="str">
        <x:v>2021 IBC</x:v>
      </x:c>
      <x:c r="F24" s="30" t="str">
        <x:v>Table 1020.2</x:v>
      </x:c>
      <x:c r="G24" s="30" t="str">
        <x:v>R</x:v>
      </x:c>
      <x:c r="H24" s="30" t="str">
        <x:v>NFPA 13</x:v>
      </x:c>
      <x:c r="I24" s="30" t="str"/>
      <x:c r="J24" s="30" t="str">
        <x:v>eq</x:v>
      </x:c>
      <x:c r="K24" s="30" t="str">
        <x:v>0.5</x:v>
      </x:c>
      <x:c r="L24" s="30" t="str">
        <x:v>hour</x:v>
      </x:c>
      <x:c r="M24" s="30" t="str">
        <x:v>A sprinklered Group R corridor serving an occupant load greater than 10 generally requires a 0.5-hour fire-resistance rating.</x:v>
      </x:c>
      <x:c r="N24" s="30" t="str">
        <x:v>Group R corridor; occupant load served &gt;10; sprinklered.</x:v>
      </x:c>
      <x:c r="O24" s="30" t="str">
        <x:v>Set corridor rating based on occupancy/load/sprinkler condition.</x:v>
      </x:c>
      <x:c r="P24" s="30" t="str">
        <x:v>Hard</x:v>
      </x:c>
      <x:c r="Q24" s="30" t="str">
        <x:v>Starter verified</x:v>
      </x:c>
      <x:c r="R24" s="30" t="str">
        <x:v>https://codes.iccsafe.org/content/IBC2021V2.0/chapter-10-means-of-egress</x:v>
      </x:c>
      <x:c r="S24" s="30" t="str">
        <x:v>2026-09-29</x:v>
      </x:c>
      <x:c r="T24" s="30" t="str"/>
    </x:row>
    <x:row r="25">
      <x:c r="A25" s="30" t="str">
        <x:v>IBC-R1-025</x:v>
      </x:c>
      <x:c r="B25" s="30" t="str">
        <x:v>Corridors</x:v>
      </x:c>
      <x:c r="C25" s="30" t="str">
        <x:v>Default minimum corridor width</x:v>
      </x:c>
      <x:c r="D25" s="30" t="str">
        <x:v>numeric_threshold</x:v>
      </x:c>
      <x:c r="E25" s="30" t="str">
        <x:v>2021 IBC</x:v>
      </x:c>
      <x:c r="F25" s="30" t="str">
        <x:v>Table 1020.3</x:v>
      </x:c>
      <x:c r="G25" s="30" t="str">
        <x:v>All</x:v>
      </x:c>
      <x:c r="H25" s="30" t="str"/>
      <x:c r="I25" s="30" t="str"/>
      <x:c r="J25" s="30" t="str">
        <x:v>&gt;=</x:v>
      </x:c>
      <x:c r="K25" s="30" t="str">
        <x:v>44</x:v>
      </x:c>
      <x:c r="L25" s="30" t="str">
        <x:v>in</x:v>
      </x:c>
      <x:c r="M25" s="30" t="str">
        <x:v>Corridors not otherwise listed in the table are generally at least 44 inches wide.</x:v>
      </x:c>
      <x:c r="N25" s="30" t="str">
        <x:v>Typical hotel corridor unless another condition is more restrictive.</x:v>
      </x:c>
      <x:c r="O25" s="30" t="str">
        <x:v>Compare corridor clear width to 44 in and capacity requirement.</x:v>
      </x:c>
      <x:c r="P25" s="30" t="str">
        <x:v>Hard</x:v>
      </x:c>
      <x:c r="Q25" s="30" t="str">
        <x:v>Starter verified</x:v>
      </x:c>
      <x:c r="R25" s="30" t="str">
        <x:v>https://codes.iccsafe.org/content/IBC2021V2.0/chapter-10-means-of-egress</x:v>
      </x:c>
      <x:c r="S25" s="30" t="str">
        <x:v>2026-09-29</x:v>
      </x:c>
      <x:c r="T25" s="30" t="str">
        <x:v>Hotel planning may intentionally use wider corridors; that belongs in the planning-rule database, not the IBC database.</x:v>
      </x:c>
    </x:row>
    <x:row r="26">
      <x:c r="A26" s="30" t="str">
        <x:v>IBC-R1-026</x:v>
      </x:c>
      <x:c r="B26" s="30" t="str">
        <x:v>Corridors</x:v>
      </x:c>
      <x:c r="C26" s="30" t="str">
        <x:v>Minimum corridor width when occupant load is under 50</x:v>
      </x:c>
      <x:c r="D26" s="30" t="str">
        <x:v>numeric_threshold</x:v>
      </x:c>
      <x:c r="E26" s="30" t="str">
        <x:v>2021 IBC</x:v>
      </x:c>
      <x:c r="F26" s="30" t="str">
        <x:v>Table 1020.3</x:v>
      </x:c>
      <x:c r="G26" s="30" t="str">
        <x:v>All</x:v>
      </x:c>
      <x:c r="H26" s="30" t="str"/>
      <x:c r="I26" s="30" t="str"/>
      <x:c r="J26" s="30" t="str">
        <x:v>&gt;=</x:v>
      </x:c>
      <x:c r="K26" s="30" t="str">
        <x:v>36</x:v>
      </x:c>
      <x:c r="L26" s="30" t="str">
        <x:v>in</x:v>
      </x:c>
      <x:c r="M26" s="30" t="str">
        <x:v>A corridor serving an occupant load less than 50 may be 36 inches minimum where no more restrictive provision applies.</x:v>
      </x:c>
      <x:c r="N26" s="30" t="str">
        <x:v>Occupant load served &lt;50 and no other table condition controls.</x:v>
      </x:c>
      <x:c r="O26" s="30" t="str">
        <x:v>Calculate corridor occupant load then compare width.</x:v>
      </x:c>
      <x:c r="P26" s="30" t="str">
        <x:v>Hard</x:v>
      </x:c>
      <x:c r="Q26" s="30" t="str">
        <x:v>Starter verified</x:v>
      </x:c>
      <x:c r="R26" s="30" t="str">
        <x:v>https://codes.iccsafe.org/content/IBC2021V2.0/chapter-10-means-of-egress</x:v>
      </x:c>
      <x:c r="S26" s="30" t="str">
        <x:v>2026-09-29</x:v>
      </x:c>
      <x:c r="T26" s="30" t="str"/>
    </x:row>
    <x:row r="27">
      <x:c r="A27" s="30" t="str">
        <x:v>IBC-R1-027</x:v>
      </x:c>
      <x:c r="B27" s="30" t="str">
        <x:v>Corridors</x:v>
      </x:c>
      <x:c r="C27" s="30" t="str">
        <x:v>Dead-end corridor maximum for sprinklered R-1</x:v>
      </x:c>
      <x:c r="D27" s="30" t="str">
        <x:v>numeric_threshold</x:v>
      </x:c>
      <x:c r="E27" s="30" t="str">
        <x:v>2021 IBC</x:v>
      </x:c>
      <x:c r="F27" s="30" t="str">
        <x:v>1020.5 Exception 2</x:v>
      </x:c>
      <x:c r="G27" s="30" t="str">
        <x:v>R-1</x:v>
      </x:c>
      <x:c r="H27" s="30" t="str">
        <x:v>NFPA 13</x:v>
      </x:c>
      <x:c r="I27" s="30" t="str"/>
      <x:c r="J27" s="30" t="str">
        <x:v>&lt;=</x:v>
      </x:c>
      <x:c r="K27" s="30" t="str">
        <x:v>50</x:v>
      </x:c>
      <x:c r="L27" s="30" t="str">
        <x:v>ft</x:v>
      </x:c>
      <x:c r="M27" s="30" t="str">
        <x:v>In a fully sprinklered Group R-1 building, dead-end corridors are generally limited to 50 feet.</x:v>
      </x:c>
      <x:c r="N27" s="30" t="str">
        <x:v>More than one exit required; R-1; NFPA 13.</x:v>
      </x:c>
      <x:c r="O27" s="30" t="str">
        <x:v>Measure dead-end corridor length to decision point.</x:v>
      </x:c>
      <x:c r="P27" s="30" t="str">
        <x:v>Hard</x:v>
      </x:c>
      <x:c r="Q27" s="30" t="str">
        <x:v>Starter verified</x:v>
      </x:c>
      <x:c r="R27" s="30" t="str">
        <x:v>https://codes.iccsafe.org/content/IBC2021V2.0/chapter-10-means-of-egress</x:v>
      </x:c>
      <x:c r="S27" s="30" t="str">
        <x:v>2026-09-29</x:v>
      </x:c>
      <x:c r="T27" s="30" t="str"/>
    </x:row>
    <x:row r="28">
      <x:c r="A28" s="30" t="str">
        <x:v>IBC-R1-028</x:v>
      </x:c>
      <x:c r="B28" s="30" t="str">
        <x:v>Doors</x:v>
      </x:c>
      <x:c r="C28" s="30" t="str">
        <x:v>Minimum clear width of required egress door opening</x:v>
      </x:c>
      <x:c r="D28" s="30" t="str">
        <x:v>numeric_threshold</x:v>
      </x:c>
      <x:c r="E28" s="30" t="str">
        <x:v>2021 IBC</x:v>
      </x:c>
      <x:c r="F28" s="30" t="str">
        <x:v>1010.1.1</x:v>
      </x:c>
      <x:c r="G28" s="30" t="str">
        <x:v>All</x:v>
      </x:c>
      <x:c r="H28" s="30" t="str"/>
      <x:c r="I28" s="30" t="str"/>
      <x:c r="J28" s="30" t="str">
        <x:v>&gt;=</x:v>
      </x:c>
      <x:c r="K28" s="30" t="str">
        <x:v>32</x:v>
      </x:c>
      <x:c r="L28" s="30" t="str">
        <x:v>in clear</x:v>
      </x:c>
      <x:c r="M28" s="30" t="str">
        <x:v>Required egress door openings generally provide at least 32 inches of clear width.</x:v>
      </x:c>
      <x:c r="N28" s="30" t="str">
        <x:v>Required means-of-egress door; exceptions may apply.</x:v>
      </x:c>
      <x:c r="O28" s="30" t="str">
        <x:v>Compare clear opening to 32 in.</x:v>
      </x:c>
      <x:c r="P28" s="30" t="str">
        <x:v>Hard</x:v>
      </x:c>
      <x:c r="Q28" s="30" t="str">
        <x:v>Starter - verify before final</x:v>
      </x:c>
      <x:c r="R28" s="30" t="str">
        <x:v>https://codes.iccsafe.org/content/IBC2021V2.0/chapter-10-means-of-egress</x:v>
      </x:c>
      <x:c r="S28" s="30" t="str">
        <x:v>2026-09-29</x:v>
      </x:c>
      <x:c r="T28" s="30" t="str"/>
    </x:row>
    <x:row r="29">
      <x:c r="A29" s="30" t="str">
        <x:v>IBC-R1-029</x:v>
      </x:c>
      <x:c r="B29" s="30" t="str">
        <x:v>Egress</x:v>
      </x:c>
      <x:c r="C29" s="30" t="str">
        <x:v>Minimum means-of-egress ceiling height</x:v>
      </x:c>
      <x:c r="D29" s="30" t="str">
        <x:v>numeric_threshold</x:v>
      </x:c>
      <x:c r="E29" s="30" t="str">
        <x:v>2021 IBC</x:v>
      </x:c>
      <x:c r="F29" s="30" t="str">
        <x:v>1003.2</x:v>
      </x:c>
      <x:c r="G29" s="30" t="str">
        <x:v>All</x:v>
      </x:c>
      <x:c r="H29" s="30" t="str"/>
      <x:c r="I29" s="30" t="str"/>
      <x:c r="J29" s="30" t="str">
        <x:v>&gt;=</x:v>
      </x:c>
      <x:c r="K29" s="30" t="str">
        <x:v>7.5</x:v>
      </x:c>
      <x:c r="L29" s="30" t="str">
        <x:v>ft</x:v>
      </x:c>
      <x:c r="M29" s="30" t="str">
        <x:v>Means of egress generally has a minimum ceiling height of 7 feet 6 inches.</x:v>
      </x:c>
      <x:c r="N29" s="30" t="str">
        <x:v>Means-of-egress path; listed exceptions may apply.</x:v>
      </x:c>
      <x:c r="O29" s="30" t="str">
        <x:v>Compare clear ceiling height along egress path to 7.5 ft.</x:v>
      </x:c>
      <x:c r="P29" s="30" t="str">
        <x:v>Hard</x:v>
      </x:c>
      <x:c r="Q29" s="30" t="str">
        <x:v>Starter - verify before final</x:v>
      </x:c>
      <x:c r="R29" s="30" t="str">
        <x:v>https://codes.iccsafe.org/content/IBC2021V2.0/chapter-10-means-of-egress</x:v>
      </x:c>
      <x:c r="S29" s="30" t="str">
        <x:v>2026-09-29</x:v>
      </x:c>
      <x:c r="T29" s="30" t="str"/>
    </x:row>
  </x:sheetData>
  <x:pageMargins left="0.7" right="0.7" top="0.75" bottom="0.75" header="0.3" footer="0.3"/>
  <x:tableParts count="1">
    <x:tablePart xmlns:r="http://schemas.openxmlformats.org/officeDocument/2006/relationships" r:id="R8e12be45f29a49c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24" hidden="0" customWidth="1"/>
    <x:col min="4" max="4" width="20" hidden="0" customWidth="1"/>
    <x:col min="5" max="5" width="18" hidden="0" customWidth="1"/>
    <x:col min="6" max="6" width="16" hidden="0" customWidth="1"/>
    <x:col min="7" max="7" width="85" hidden="0" customWidth="1"/>
  </x:cols>
  <x:sheetData>
    <x:row r="1">
      <x:c r="A1" s="36" t="str">
        <x:v>Reference</x:v>
      </x:c>
      <x:c r="B1" s="36" t="str">
        <x:v>Source file</x:v>
      </x:c>
      <x:c r="C1" s="36" t="str">
        <x:v>Use in this workbook</x:v>
      </x:c>
      <x:c r="D1" s="36" t="str">
        <x:v>Stories / Levels</x:v>
      </x:c>
      <x:c r="E1" s="36" t="str">
        <x:v>Approx. Size</x:v>
      </x:c>
      <x:c r="F1" s="36" t="str">
        <x:v>Keys / Units</x:v>
      </x:c>
      <x:c r="G1" s="36" t="str">
        <x:v>Relevant observations</x:v>
      </x:c>
    </x:row>
    <x:row r="2">
      <x:c r="A2" s="30" t="str">
        <x:v>RNGD Living + Lodging Prototype</x:v>
      </x:c>
      <x:c r="B2" s="30" t="str">
        <x:v>Project Renegade Living+Lodging_Drawings.pdf</x:v>
      </x:c>
      <x:c r="C2" s="30" t="str">
        <x:v>Non-code precedent only</x:v>
      </x:c>
      <x:c r="D2" s="30" t="str">
        <x:v>6 levels</x:v>
      </x:c>
      <x:c r="E2" s="30" t="str">
        <x:v>74,197 SF</x:v>
      </x:c>
      <x:c r="F2" s="30" t="str">
        <x:v>117 keys</x:v>
      </x:c>
      <x:c r="G2" s="30" t="str">
        <x:v>Ground floor + five upper lodging levels; repeated hotel-room floors; two stairs; repeated room types; rooftop about 69'-6 1/2" in the reference set.</x:v>
      </x:c>
    </x:row>
    <x:row r="3">
      <x:c r="A3" s="30" t="str">
        <x:v>223 Washington - Site B</x:v>
      </x:c>
      <x:c r="B3" s="30" t="str">
        <x:v>22_1122 223 Washington St - Progress_Updated Plans_11.22.22.pdf</x:v>
      </x:c>
      <x:c r="C3" s="30" t="str">
        <x:v>Non-code precedent only</x:v>
      </x:c>
      <x:c r="D3" s="30" t="str">
        <x:v>8 hotel floors + rooftop</x:v>
      </x:c>
      <x:c r="E3" s="30" t="str">
        <x:v>129,900 SF</x:v>
      </x:c>
      <x:c r="F3" s="30" t="str">
        <x:v>156 keys</x:v>
      </x:c>
      <x:c r="G3" s="30" t="str">
        <x:v>Large full-service hotel precedent; typical floors show 24 keys; second floor contains meeting/fitness amenity functions.</x:v>
      </x:c>
    </x:row>
    <x:row r="4">
      <x:c r="A4" s="30" t="str">
        <x:v>Bryden Wood Platform 2 Study</x:v>
      </x:c>
      <x:c r="B4" s="30" t="str">
        <x:v>22 Washington St - BWT Platform 2 Report.pdf</x:v>
      </x:c>
      <x:c r="C4" s="30" t="str">
        <x:v>Non-code product/DfMA precedent</x:v>
      </x:c>
      <x:c r="D4" s="30" t="str">
        <x:v>Platform supports broader range; project study is multi-story</x:v>
      </x:c>
      <x:c r="E4" s="30" t="str">
        <x:v>N/A</x:v>
      </x:c>
      <x:c r="F4" s="30" t="str">
        <x:v>Hotel-room prototype</x:v>
      </x:c>
      <x:c r="G4" s="30" t="str">
        <x:v>Studies standardized Platform 2 structure, room cassettes/smartwalls/bulkheads, facade panelization, corridor MEP cassettes, prefabricated stairs, and vertical MEP risers.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50" hidden="0" customWidth="1"/>
    <x:col min="4" max="4" width="75" hidden="0" customWidth="1"/>
    <x:col min="5" max="5" width="28" hidden="0" customWidth="1"/>
  </x:cols>
  <x:sheetData>
    <x:row r="1">
      <x:c r="A1" s="42" t="str">
        <x:v>priority</x:v>
      </x:c>
      <x:c r="B1" s="42" t="str">
        <x:v>category</x:v>
      </x:c>
      <x:c r="C1" s="42" t="str">
        <x:v>IBC topic to extract next</x:v>
      </x:c>
      <x:c r="D1" s="42" t="str">
        <x:v>reason for inclusion</x:v>
      </x:c>
      <x:c r="E1" s="42" t="str">
        <x:v>status</x:v>
      </x:c>
    </x:row>
    <x:row r="2">
      <x:c r="A2" s="30" t="n">
        <x:v>1</x:v>
      </x:c>
      <x:c r="B2" s="30" t="str">
        <x:v>Occupant Load</x:v>
      </x:c>
      <x:c r="C2" s="30" t="str">
        <x:v>Table 1004.5 occupant-load factors for hotel sleeping, assembly, business, kitchen, exercise, storage and similar spaces</x:v>
      </x:c>
      <x:c r="D2" s="30" t="str">
        <x:v>Needed before exit-count and egress-width logic can be calculated</x:v>
      </x:c>
      <x:c r="E2" s="30" t="str">
        <x:v>COMPLETE - v0.2</x:v>
      </x:c>
    </x:row>
    <x:row r="3">
      <x:c r="A3" s="30" t="n">
        <x:v>2</x:v>
      </x:c>
      <x:c r="B3" s="30" t="str">
        <x:v>Egress Capacity</x:v>
      </x:c>
      <x:c r="C3" s="30" t="str">
        <x:v>Section 1005 egress width/capacity factors for stairs and other components</x:v>
      </x:c>
      <x:c r="D3" s="30" t="str">
        <x:v>Needed to size stairs/doors/corridors from occupant load</x:v>
      </x:c>
      <x:c r="E3" s="30" t="str">
        <x:v>NEXT</x:v>
      </x:c>
    </x:row>
    <x:row r="4">
      <x:c r="A4" s="30" t="n">
        <x:v>3</x:v>
      </x:c>
      <x:c r="B4" s="30" t="str">
        <x:v>Doors</x:v>
      </x:c>
      <x:c r="C4" s="30" t="str">
        <x:v>Door swing direction, landings, revolving/sliding-door limitations where relevant</x:v>
      </x:c>
      <x:c r="D4" s="30" t="str">
        <x:v>Direct impact on schematic circulation and exit doors</x:v>
      </x:c>
      <x:c r="E4" s="30" t="str">
        <x:v>NEXT</x:v>
      </x:c>
    </x:row>
    <x:row r="5">
      <x:c r="A5" s="30" t="n">
        <x:v>4</x:v>
      </x:c>
      <x:c r="B5" s="30" t="str">
        <x:v>Stairs</x:v>
      </x:c>
      <x:c r="C5" s="30" t="str">
        <x:v>Landings, headroom, vertical rise between landings, enclosure references</x:v>
      </x:c>
      <x:c r="D5" s="30" t="str">
        <x:v>Direct impact on core footprint</x:v>
      </x:c>
      <x:c r="E5" s="30" t="str">
        <x:v>NEXT</x:v>
      </x:c>
    </x:row>
    <x:row r="6">
      <x:c r="A6" s="30" t="n">
        <x:v>5</x:v>
      </x:c>
      <x:c r="B6" s="30" t="str">
        <x:v>Exit Access</x:v>
      </x:c>
      <x:c r="C6" s="30" t="str">
        <x:v>Additional single-exit story conditions and exceptions specific to R-1</x:v>
      </x:c>
      <x:c r="D6" s="30" t="str">
        <x:v>Could affect small floor plates</x:v>
      </x:c>
      <x:c r="E6" s="30" t="str">
        <x:v>NEXT</x:v>
      </x:c>
    </x:row>
    <x:row r="7">
      <x:c r="A7" s="30" t="n">
        <x:v>6</x:v>
      </x:c>
      <x:c r="B7" s="30" t="str">
        <x:v>Fire-Resistance</x:v>
      </x:c>
      <x:c r="C7" s="30" t="str">
        <x:v>Shaft enclosures, stair enclosures, floor/roof assemblies, structural fire-resistance requirements by construction type</x:v>
      </x:c>
      <x:c r="D7" s="30" t="str">
        <x:v>Needed once Type IIA vs IIB is locked</x:v>
      </x:c>
      <x:c r="E7" s="30" t="str">
        <x:v>PENDING CONSTRUCTION TYPE</x:v>
      </x:c>
    </x:row>
    <x:row r="8">
      <x:c r="A8" s="30" t="n">
        <x:v>7</x:v>
      </x:c>
      <x:c r="B8" s="30" t="str">
        <x:v>Mixed Occupancy</x:v>
      </x:c>
      <x:c r="C8" s="30" t="str">
        <x:v>Accessory / nonseparated / separated occupancy logic for lobby, F&amp;B, meeting, retail and BOH</x:v>
      </x:c>
      <x:c r="D8" s="30" t="str">
        <x:v>Reference hotels contain mixed public/assembly/business functions</x:v>
      </x:c>
      <x:c r="E8" s="30" t="str">
        <x:v>NEXT</x:v>
      </x:c>
    </x:row>
    <x:row r="9">
      <x:c r="A9" s="30" t="n">
        <x:v>8</x:v>
      </x:c>
      <x:c r="B9" s="30" t="str">
        <x:v>Accessibility</x:v>
      </x:c>
      <x:c r="C9" s="30" t="str">
        <x:v>IBC Chapter 11 base-code provisions affecting accessible route and sleeping-unit distribution</x:v>
      </x:c>
      <x:c r="D9" s="30" t="str">
        <x:v>Only if team wants accessibility inside this IBC-only database</x:v>
      </x:c>
      <x:c r="E9" s="30" t="str">
        <x:v>DECIDE SCOPE</x:v>
      </x:c>
    </x:row>
    <x:row r="10">
      <x:c r="A10" s="30" t="n">
        <x:v>9</x:v>
      </x:c>
      <x:c r="B10" s="30" t="str">
        <x:v>Elevators</x:v>
      </x:c>
      <x:c r="C10" s="30" t="str">
        <x:v>IBC provisions that materially affect elevator/core planning and accessible means of egress</x:v>
      </x:c>
      <x:c r="D10" s="30" t="str">
        <x:v>Core planning impact</x:v>
      </x:c>
      <x:c r="E10" s="30" t="str">
        <x:v>LATER</x:v>
      </x:c>
    </x:row>
    <x:row r="11">
      <x:c r="A11" s="30" t="n">
        <x:v>10</x:v>
      </x:c>
      <x:c r="B11" s="30" t="str">
        <x:v>Special Conditions</x:v>
      </x:c>
      <x:c r="C11" s="30" t="str">
        <x:v>Atriums, rooftop occupied areas, incidental uses, commercial kitchens if present</x:v>
      </x:c>
      <x:c r="D11" s="30" t="str">
        <x:v>Only when project program includes these conditions</x:v>
      </x:c>
      <x:c r="E11" s="30" t="str">
        <x:v>AS NEEDED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34" hidden="0" customWidth="1"/>
    <x:col min="4" max="4" width="20" hidden="0" customWidth="1"/>
    <x:col min="5" max="5" width="12" hidden="0" customWidth="1"/>
    <x:col min="6" max="6" width="18" hidden="0" customWidth="1"/>
    <x:col min="7" max="7" width="11" hidden="0" customWidth="1"/>
    <x:col min="8" max="8" width="18" hidden="0" customWidth="1"/>
    <x:col min="9" max="9" width="18" hidden="0" customWidth="1"/>
    <x:col min="10" max="10" width="12" hidden="0" customWidth="1"/>
    <x:col min="11" max="11" width="22" hidden="0" customWidth="1"/>
    <x:col min="12" max="12" width="18" hidden="0" customWidth="1"/>
    <x:col min="13" max="13" width="55" hidden="0" customWidth="1"/>
    <x:col min="14" max="14" width="45" hidden="0" customWidth="1"/>
    <x:col min="15" max="15" width="50" hidden="0" customWidth="1"/>
    <x:col min="16" max="16" width="12" hidden="0" customWidth="1"/>
    <x:col min="17" max="17" width="24" hidden="0" customWidth="1"/>
    <x:col min="18" max="18" width="46" hidden="0" customWidth="1"/>
    <x:col min="19" max="19" width="14" hidden="0" customWidth="1"/>
    <x:col min="20" max="20" width="50" hidden="0" customWidth="1"/>
    <x:col min="21" max="21" width="12" hidden="0" customWidth="1"/>
    <x:col min="22" max="22" width="15" hidden="0" customWidth="1"/>
    <x:col min="23" max="23" width="26" hidden="0" customWidth="1"/>
    <x:col min="24" max="24" width="28" hidden="0" customWidth="1"/>
    <x:col min="25" max="25" width="24" hidden="0" customWidth="1"/>
    <x:col min="26" max="26" width="16" hidden="0" customWidth="1"/>
    <x:col min="27" max="27" width="28" hidden="0" customWidth="1"/>
    <x:col min="28" max="28" width="12" hidden="0" customWidth="1"/>
    <x:col min="29" max="29" width="14" hidden="0" customWidth="1"/>
    <x:col min="30" max="30" width="26" hidden="0" customWidth="1"/>
    <x:col min="31" max="31" width="12" hidden="0" customWidth="1"/>
    <x:col min="32" max="32" width="16" hidden="0" customWidth="1"/>
    <x:col min="33" max="33" width="14" hidden="0" customWidth="1"/>
    <x:col min="34" max="34" width="55" hidden="0" customWidth="1"/>
  </x:cols>
  <x:sheetData>
    <x:row r="1">
      <x:c r="A1" s="53" t="str">
        <x:v>rule_id</x:v>
      </x:c>
      <x:c r="B1" s="53" t="str">
        <x:v>category</x:v>
      </x:c>
      <x:c r="C1" s="53" t="str">
        <x:v>rule_name</x:v>
      </x:c>
      <x:c r="D1" s="53" t="str">
        <x:v>rule_type</x:v>
      </x:c>
      <x:c r="E1" s="53" t="str">
        <x:v>base_code</x:v>
      </x:c>
      <x:c r="F1" s="53" t="str">
        <x:v>base_section</x:v>
      </x:c>
      <x:c r="G1" s="53" t="str">
        <x:v>occupancy</x:v>
      </x:c>
      <x:c r="H1" s="53" t="str">
        <x:v>sprinkler_condition</x:v>
      </x:c>
      <x:c r="I1" s="53" t="str">
        <x:v>construction_type</x:v>
      </x:c>
      <x:c r="J1" s="53" t="str">
        <x:v>operator</x:v>
      </x:c>
      <x:c r="K1" s="53" t="str">
        <x:v>value</x:v>
      </x:c>
      <x:c r="L1" s="53" t="str">
        <x:v>units</x:v>
      </x:c>
      <x:c r="M1" s="53" t="str">
        <x:v>rule_description</x:v>
      </x:c>
      <x:c r="N1" s="53" t="str">
        <x:v>applies_when</x:v>
      </x:c>
      <x:c r="O1" s="53" t="str">
        <x:v>ai_check_method</x:v>
      </x:c>
      <x:c r="P1" s="53" t="str">
        <x:v>hard_soft</x:v>
      </x:c>
      <x:c r="Q1" s="53" t="str">
        <x:v>verification_status</x:v>
      </x:c>
      <x:c r="R1" s="53" t="str">
        <x:v>source_url</x:v>
      </x:c>
      <x:c r="S1" s="53" t="str">
        <x:v>date_verified</x:v>
      </x:c>
      <x:c r="T1" s="53" t="str">
        <x:v>notes</x:v>
      </x:c>
      <x:c r="U1" s="53" t="str">
        <x:v>rule_status</x:v>
      </x:c>
      <x:c r="V1" s="53" t="str">
        <x:v>scope_object</x:v>
      </x:c>
      <x:c r="W1" s="53" t="str">
        <x:v>input_variable</x:v>
      </x:c>
      <x:c r="X1" s="53" t="str">
        <x:v>secondary_input_variable</x:v>
      </x:c>
      <x:c r="Y1" s="53" t="str">
        <x:v>calculation_method</x:v>
      </x:c>
      <x:c r="Z1" s="53" t="str">
        <x:v>parameter_numeric</x:v>
      </x:c>
      <x:c r="AA1" s="53" t="str">
        <x:v>parameter_text</x:v>
      </x:c>
      <x:c r="AB1" s="53" t="str">
        <x:v>area_basis</x:v>
      </x:c>
      <x:c r="AC1" s="53" t="str">
        <x:v>rounding_method</x:v>
      </x:c>
      <x:c r="AD1" s="53" t="str">
        <x:v>output_variable</x:v>
      </x:c>
      <x:c r="AE1" s="53" t="str">
        <x:v>severity</x:v>
      </x:c>
      <x:c r="AF1" s="53" t="str">
        <x:v>professional_review_required</x:v>
      </x:c>
      <x:c r="AG1" s="53" t="str">
        <x:v>machine_testable</x:v>
      </x:c>
      <x:c r="AH1" s="53" t="str">
        <x:v>implementation_notes</x:v>
      </x:c>
    </x:row>
    <x:row r="2">
      <x:c r="A2" s="58" t="str">
        <x:v>IBC-R1-001</x:v>
      </x:c>
      <x:c r="B2" s="58" t="str">
        <x:v>Occupancy</x:v>
      </x:c>
      <x:c r="C2" s="58" t="str">
        <x:v>R-1 transient hotel classification</x:v>
      </x:c>
      <x:c r="D2" s="58" t="str">
        <x:v>classification</x:v>
      </x:c>
      <x:c r="E2" s="58" t="str">
        <x:v>2021 IBC</x:v>
      </x:c>
      <x:c r="F2" s="58" t="str">
        <x:v>310.2</x:v>
      </x:c>
      <x:c r="G2" s="58" t="str">
        <x:v>R-1</x:v>
      </x:c>
      <x:c r="H2" s="58"/>
      <x:c r="I2" s="58"/>
      <x:c r="J2" s="58" t="str">
        <x:v>eq</x:v>
      </x:c>
      <x:c r="K2" s="58" t="str">
        <x:v>R-1</x:v>
      </x:c>
      <x:c r="L2" s="58" t="str">
        <x:v>classification</x:v>
      </x:c>
      <x:c r="M2" s="58" t="str">
        <x:v>Transient hotels and motels are classified as Group R-1.</x:v>
      </x:c>
      <x:c r="N2" s="58" t="str">
        <x:v>Use is primarily transient lodging.</x:v>
      </x:c>
      <x:c r="O2" s="58" t="str">
        <x:v>Classify project/program use before other checks.</x:v>
      </x:c>
      <x:c r="P2" s="58" t="str">
        <x:v>Hard</x:v>
      </x:c>
      <x:c r="Q2" s="58" t="str">
        <x:v>Starter verified</x:v>
      </x:c>
      <x:c r="R2" s="58" t="str">
        <x:v>https://codes.iccsafe.org/content/IBC2021V2.0/chapter-3-occupancy-classificat...</x:v>
      </x:c>
      <x:c r="S2" s="58" t="str">
        <x:v>2026-09-29</x:v>
      </x:c>
      <x:c r="T2" s="58" t="str">
        <x:v>Primary occupancy assumption for the RNGD hotel prototype.</x:v>
      </x:c>
      <x:c r="U2" s="58" t="str">
        <x:v>active</x:v>
      </x:c>
      <x:c r="V2" s="58" t="str">
        <x:v>project</x:v>
      </x:c>
      <x:c r="W2" s="58" t="str">
        <x:v>project_use</x:v>
      </x:c>
      <x:c r="X2" s="58" t="str"/>
      <x:c r="Y2" s="58" t="str">
        <x:v>classification_match</x:v>
      </x:c>
      <x:c r="Z2" s="58" t="str"/>
      <x:c r="AA2" s="58" t="str">
        <x:v>R-1</x:v>
      </x:c>
      <x:c r="AB2" s="58" t="str"/>
      <x:c r="AC2" s="58" t="str">
        <x:v>none</x:v>
      </x:c>
      <x:c r="AD2" s="58" t="str">
        <x:v>occupancy_classification</x:v>
      </x:c>
      <x:c r="AE2" s="58" t="str">
        <x:v>critical</x:v>
      </x:c>
      <x:c r="AF2" s="59" t="b">
        <x:v>1</x:v>
      </x:c>
      <x:c r="AG2" s="59" t="b">
        <x:v>1</x:v>
      </x:c>
      <x:c r="AH2" s="58" t="str">
        <x:v>Match parsed project use to R-1.</x:v>
      </x:c>
    </x:row>
    <x:row r="3">
      <x:c r="A3" s="58" t="str">
        <x:v>IBC-R1-002</x:v>
      </x:c>
      <x:c r="B3" s="58" t="str">
        <x:v>Mixed Use</x:v>
      </x:c>
      <x:c r="C3" s="58" t="str">
        <x:v>Small accessory assembly space classification</x:v>
      </x:c>
      <x:c r="D3" s="58" t="str">
        <x:v>classification</x:v>
      </x:c>
      <x:c r="E3" s="58" t="str">
        <x:v>2021 IBC</x:v>
      </x:c>
      <x:c r="F3" s="58" t="str">
        <x:v>303.1.1 / 303.1.2</x:v>
      </x:c>
      <x:c r="G3" s="58" t="str">
        <x:v>A/B/R-1</x:v>
      </x:c>
      <x:c r="H3" s="58"/>
      <x:c r="I3" s="58"/>
      <x:c r="J3" s="58" t="str">
        <x:v>&lt;</x:v>
      </x:c>
      <x:c r="K3" s="58" t="str">
        <x:v>50 occupants or 750 sf</x:v>
      </x:c>
      <x:c r="L3" s="58" t="str">
        <x:v>threshold</x:v>
      </x:c>
      <x:c r="M3" s="58" t="str">
        <x:v>Small assembly rooms can be classified as Group B or as part of an accessory ...</x:v>
      </x:c>
      <x:c r="N3" s="58" t="str">
        <x:v>Lobby, breakfast, meeting, or similar accessory assembly spaces.</x:v>
      </x:c>
      <x:c r="O3" s="58" t="str">
        <x:v>Calculate occupant load and area; determine whether separate Group A classifi...</x:v>
      </x:c>
      <x:c r="P3" s="58" t="str">
        <x:v>Hard</x:v>
      </x:c>
      <x:c r="Q3" s="58" t="str">
        <x:v>Starter verified</x:v>
      </x:c>
      <x:c r="R3" s="58" t="str">
        <x:v>https://codes.iccsafe.org/content/IBC2021V2.0/chapter-3-occupancy-classificat...</x:v>
      </x:c>
      <x:c r="S3" s="58" t="str">
        <x:v>2026-09-29</x:v>
      </x:c>
      <x:c r="T3" s="58" t="str">
        <x:v>Useful for hotel public/meeting spaces.</x:v>
      </x:c>
      <x:c r="U3" s="58" t="str">
        <x:v>needs_review</x:v>
      </x:c>
      <x:c r="V3" s="58" t="str">
        <x:v>space</x:v>
      </x:c>
      <x:c r="W3" s="58" t="str">
        <x:v>space_occupant_load</x:v>
      </x:c>
      <x:c r="X3" s="58" t="str">
        <x:v>space_area_sf</x:v>
      </x:c>
      <x:c r="Y3" s="58" t="str">
        <x:v>conditional_classification</x:v>
      </x:c>
      <x:c r="Z3" s="58" t="str">
        <x:v>50</x:v>
      </x:c>
      <x:c r="AA3" s="58" t="str">
        <x:v>750 sf</x:v>
      </x:c>
      <x:c r="AB3" s="58" t="str"/>
      <x:c r="AC3" s="58" t="str">
        <x:v>none</x:v>
      </x:c>
      <x:c r="AD3" s="58" t="str">
        <x:v>assembly_classification_flag</x:v>
      </x:c>
      <x:c r="AE3" s="58" t="str">
        <x:v>warning</x:v>
      </x:c>
      <x:c r="AF3" s="59" t="b">
        <x:v>1</x:v>
      </x:c>
      <x:c r="AG3" s="59" t="b">
        <x:v>0</x:v>
      </x:c>
      <x:c r="AH3" s="58" t="str">
        <x:v>Requires two-condition logic and AEC review.</x:v>
      </x:c>
    </x:row>
    <x:row r="4">
      <x:c r="A4" s="58" t="str">
        <x:v>IBC-R1-003</x:v>
      </x:c>
      <x:c r="B4" s="58" t="str">
        <x:v>Fire Protection</x:v>
      </x:c>
      <x:c r="C4" s="58" t="str">
        <x:v>Automatic sprinkler required for Group R</x:v>
      </x:c>
      <x:c r="D4" s="58" t="str">
        <x:v>requirement</x:v>
      </x:c>
      <x:c r="E4" s="58" t="str">
        <x:v>2021 IBC</x:v>
      </x:c>
      <x:c r="F4" s="58" t="str">
        <x:v>903.2.8</x:v>
      </x:c>
      <x:c r="G4" s="58" t="str">
        <x:v>R-1</x:v>
      </x:c>
      <x:c r="H4" s="58" t="str">
        <x:v>NFPA 13 assumed</x:v>
      </x:c>
      <x:c r="I4" s="58"/>
      <x:c r="J4" s="58" t="str">
        <x:v>requires</x:v>
      </x:c>
      <x:c r="K4" s="58" t="str">
        <x:v>Automatic sprinkler system</x:v>
      </x:c>
      <x:c r="L4" s="58" t="str">
        <x:v>system</x:v>
      </x:c>
      <x:c r="M4" s="58" t="str">
        <x:v>Group R fire areas require automatic sprinkler protection throughout in accor...</x:v>
      </x:c>
      <x:c r="N4" s="58" t="str">
        <x:v>New Group R-1 hotel.</x:v>
      </x:c>
      <x:c r="O4" s="58" t="str">
        <x:v>Boolean check: sprinkler system provided throughout.</x:v>
      </x:c>
      <x:c r="P4" s="58" t="str">
        <x:v>Hard</x:v>
      </x:c>
      <x:c r="Q4" s="58" t="str">
        <x:v>Starter verified</x:v>
      </x:c>
      <x:c r="R4" s="58" t="str">
        <x:v>https://codes.iccsafe.org/content/IBC2021V2.0/chapter-9-fire-protection-and-l...</x:v>
      </x:c>
      <x:c r="S4" s="58" t="str">
        <x:v>2026-09-29</x:v>
      </x:c>
      <x:c r="T4" s="58" t="str">
        <x:v>Prototype assumption: fully sprinklered.</x:v>
      </x:c>
      <x:c r="U4" s="58" t="str">
        <x:v>active</x:v>
      </x:c>
      <x:c r="V4" s="58" t="str">
        <x:v>building</x:v>
      </x:c>
      <x:c r="W4" s="58" t="str">
        <x:v>sprinkler_system_status</x:v>
      </x:c>
      <x:c r="X4" s="58" t="str"/>
      <x:c r="Y4" s="58" t="str">
        <x:v>boolean_required</x:v>
      </x:c>
      <x:c r="Z4" s="58" t="str"/>
      <x:c r="AA4" s="58" t="str">
        <x:v>Automatic sprinkler system</x:v>
      </x:c>
      <x:c r="AB4" s="58" t="str"/>
      <x:c r="AC4" s="58" t="str">
        <x:v>none</x:v>
      </x:c>
      <x:c r="AD4" s="58" t="str">
        <x:v>sprinkler_compliance</x:v>
      </x:c>
      <x:c r="AE4" s="58" t="str">
        <x:v>critical</x:v>
      </x:c>
      <x:c r="AF4" s="59" t="b">
        <x:v>1</x:v>
      </x:c>
      <x:c r="AG4" s="59" t="b">
        <x:v>1</x:v>
      </x:c>
      <x:c r="AH4" s="58" t="str">
        <x:v>Boolean full-sprinkler check.</x:v>
      </x:c>
    </x:row>
    <x:row r="5">
      <x:c r="A5" s="58" t="str">
        <x:v>IBC-R1-004</x:v>
      </x:c>
      <x:c r="B5" s="58" t="str">
        <x:v>Height / Stories</x:v>
      </x:c>
      <x:c r="C5" s="58" t="str">
        <x:v>Allowable height and stories depend on occupancy, construction type, and spri...</x:v>
      </x:c>
      <x:c r="D5" s="58" t="str">
        <x:v>lookup</x:v>
      </x:c>
      <x:c r="E5" s="58" t="str">
        <x:v>2021 IBC</x:v>
      </x:c>
      <x:c r="F5" s="58" t="str">
        <x:v>504.1</x:v>
      </x:c>
      <x:c r="G5" s="58" t="str">
        <x:v>R-1</x:v>
      </x:c>
      <x:c r="H5" s="58" t="str">
        <x:v>NFPA 13</x:v>
      </x:c>
      <x:c r="I5" s="58" t="str">
        <x:v>Type II TBD</x:v>
      </x:c>
      <x:c r="J5" s="58" t="str">
        <x:v>lookup</x:v>
      </x:c>
      <x:c r="K5" s="58" t="str">
        <x:v>Table 504.3 / 504.4</x:v>
      </x:c>
      <x:c r="L5" s="58" t="str">
        <x:v>lookup</x:v>
      </x:c>
      <x:c r="M5" s="58" t="str">
        <x:v>Building height and number of stories are determined by occupancy classificat...</x:v>
      </x:c>
      <x:c r="N5" s="58" t="str">
        <x:v>Always.</x:v>
      </x:c>
      <x:c r="O5" s="58" t="str">
        <x:v>Lookup prototype variables against Chapter 5 tables.</x:v>
      </x:c>
      <x:c r="P5" s="58" t="str">
        <x:v>Hard</x:v>
      </x:c>
      <x:c r="Q5" s="58" t="str">
        <x:v>Starter verified</x:v>
      </x:c>
      <x:c r="R5" s="58" t="str">
        <x:v>https://codes.iccsafe.org/content/IBC2021V2.0/chapter-5-general-building-heig...</x:v>
      </x:c>
      <x:c r="S5" s="58" t="str">
        <x:v>2026-09-29</x:v>
      </x:c>
      <x:c r="T5" s="58" t="str">
        <x:v>Prototype is fixed at five stories; construction subtype remains to be confir...</x:v>
      </x:c>
      <x:c r="U5" s="58" t="str">
        <x:v>active</x:v>
      </x:c>
      <x:c r="V5" s="58" t="str">
        <x:v>building</x:v>
      </x:c>
      <x:c r="W5" s="58" t="str">
        <x:v>occupancy_classification</x:v>
      </x:c>
      <x:c r="X5" s="58" t="str">
        <x:v>construction_type</x:v>
      </x:c>
      <x:c r="Y5" s="58" t="str">
        <x:v>table_lookup</x:v>
      </x:c>
      <x:c r="Z5" s="58" t="str"/>
      <x:c r="AA5" s="58" t="str">
        <x:v>Tables 504.3 / 504.4</x:v>
      </x:c>
      <x:c r="AB5" s="58" t="str"/>
      <x:c r="AC5" s="58" t="str">
        <x:v>none</x:v>
      </x:c>
      <x:c r="AD5" s="58" t="str">
        <x:v>allowable_height_story_set</x:v>
      </x:c>
      <x:c r="AE5" s="58" t="str">
        <x:v>critical</x:v>
      </x:c>
      <x:c r="AF5" s="59" t="b">
        <x:v>1</x:v>
      </x:c>
      <x:c r="AG5" s="59" t="b">
        <x:v>0</x:v>
      </x:c>
      <x:c r="AH5" s="58" t="str">
        <x:v>Parent lookup rule; specific rows below are executable.</x:v>
      </x:c>
    </x:row>
    <x:row r="6">
      <x:c r="A6" s="58" t="str">
        <x:v>IBC-R1-005</x:v>
      </x:c>
      <x:c r="B6" s="58" t="str">
        <x:v>Height / Stories</x:v>
      </x:c>
      <x:c r="C6" s="58" t="str">
        <x:v>R occupancy sprinklered Type IIA allowable height</x:v>
      </x:c>
      <x:c r="D6" s="58" t="str">
        <x:v>numeric_threshold</x:v>
      </x:c>
      <x:c r="E6" s="58" t="str">
        <x:v>2021 IBC</x:v>
      </x:c>
      <x:c r="F6" s="58" t="str">
        <x:v>Table 504.3</x:v>
      </x:c>
      <x:c r="G6" s="58" t="str">
        <x:v>R</x:v>
      </x:c>
      <x:c r="H6" s="58" t="str">
        <x:v>NFPA 13</x:v>
      </x:c>
      <x:c r="I6" s="58" t="str">
        <x:v>IIA</x:v>
      </x:c>
      <x:c r="J6" s="58" t="str">
        <x:v>&lt;=</x:v>
      </x:c>
      <x:c r="K6" s="58" t="str">
        <x:v>85</x:v>
      </x:c>
      <x:c r="L6" s="58" t="str">
        <x:v>ft</x:v>
      </x:c>
      <x:c r="M6" s="58" t="str">
        <x:v>For Group R with NFPA 13 sprinklers, Type IIA allowable building height is 85...</x:v>
      </x:c>
      <x:c r="N6" s="58" t="str">
        <x:v>Group R; NFPA 13; Type IIA.</x:v>
      </x:c>
      <x:c r="O6" s="58" t="str">
        <x:v>Compare proposed building height to 85 ft.</x:v>
      </x:c>
      <x:c r="P6" s="58" t="str">
        <x:v>Hard</x:v>
      </x:c>
      <x:c r="Q6" s="58" t="str">
        <x:v>Starter verified</x:v>
      </x:c>
      <x:c r="R6" s="58" t="str">
        <x:v>https://codes.iccsafe.org/content/IBC2021V2.0/chapter-5-general-building-heig...</x:v>
      </x:c>
      <x:c r="S6" s="58" t="str">
        <x:v>2026-09-29</x:v>
      </x:c>
      <x:c r="T6" s="58" t="str">
        <x:v>Keep until RNGD confirms IIA vs IIB.</x:v>
      </x:c>
      <x:c r="U6" s="58" t="str">
        <x:v>active</x:v>
      </x:c>
      <x:c r="V6" s="58" t="str">
        <x:v>building</x:v>
      </x:c>
      <x:c r="W6" s="58" t="str">
        <x:v>building_height_ft</x:v>
      </x:c>
      <x:c r="X6" s="58" t="str"/>
      <x:c r="Y6" s="58" t="str">
        <x:v>compare_max</x:v>
      </x:c>
      <x:c r="Z6" s="58" t="str">
        <x:v>85</x:v>
      </x:c>
      <x:c r="AA6" s="58" t="str"/>
      <x:c r="AB6" s="58" t="str"/>
      <x:c r="AC6" s="58" t="str">
        <x:v>none</x:v>
      </x:c>
      <x:c r="AD6" s="58" t="str">
        <x:v>height_compliance</x:v>
      </x:c>
      <x:c r="AE6" s="58" t="str">
        <x:v>critical</x:v>
      </x:c>
      <x:c r="AF6" s="59" t="b">
        <x:v>1</x:v>
      </x:c>
      <x:c r="AG6" s="59" t="b">
        <x:v>1</x:v>
      </x:c>
      <x:c r="AH6" s="58" t="str">
        <x:v>Type IIA height threshold.</x:v>
      </x:c>
    </x:row>
    <x:row r="7">
      <x:c r="A7" s="58" t="str">
        <x:v>IBC-R1-006</x:v>
      </x:c>
      <x:c r="B7" s="58" t="str">
        <x:v>Height / Stories</x:v>
      </x:c>
      <x:c r="C7" s="58" t="str">
        <x:v>R occupancy sprinklered Type IIB allowable height</x:v>
      </x:c>
      <x:c r="D7" s="58" t="str">
        <x:v>numeric_threshold</x:v>
      </x:c>
      <x:c r="E7" s="58" t="str">
        <x:v>2021 IBC</x:v>
      </x:c>
      <x:c r="F7" s="58" t="str">
        <x:v>Table 504.3</x:v>
      </x:c>
      <x:c r="G7" s="58" t="str">
        <x:v>R</x:v>
      </x:c>
      <x:c r="H7" s="58" t="str">
        <x:v>NFPA 13</x:v>
      </x:c>
      <x:c r="I7" s="58" t="str">
        <x:v>IIB</x:v>
      </x:c>
      <x:c r="J7" s="58" t="str">
        <x:v>&lt;=</x:v>
      </x:c>
      <x:c r="K7" s="58" t="str">
        <x:v>75</x:v>
      </x:c>
      <x:c r="L7" s="58" t="str">
        <x:v>ft</x:v>
      </x:c>
      <x:c r="M7" s="58" t="str">
        <x:v>For Group R with NFPA 13 sprinklers, Type IIB allowable building height is 75...</x:v>
      </x:c>
      <x:c r="N7" s="58" t="str">
        <x:v>Group R; NFPA 13; Type IIB.</x:v>
      </x:c>
      <x:c r="O7" s="58" t="str">
        <x:v>Compare proposed building height to 75 ft.</x:v>
      </x:c>
      <x:c r="P7" s="58" t="str">
        <x:v>Hard</x:v>
      </x:c>
      <x:c r="Q7" s="58" t="str">
        <x:v>Starter verified</x:v>
      </x:c>
      <x:c r="R7" s="58" t="str">
        <x:v>https://codes.iccsafe.org/content/IBC2021V2.0/chapter-5-general-building-heig...</x:v>
      </x:c>
      <x:c r="S7" s="58" t="str">
        <x:v>2026-09-29</x:v>
      </x:c>
      <x:c r="T7" s="58" t="str">
        <x:v>Keep until RNGD confirms IIA vs IIB.</x:v>
      </x:c>
      <x:c r="U7" s="58" t="str">
        <x:v>active</x:v>
      </x:c>
      <x:c r="V7" s="58" t="str">
        <x:v>building</x:v>
      </x:c>
      <x:c r="W7" s="58" t="str">
        <x:v>building_height_ft</x:v>
      </x:c>
      <x:c r="X7" s="58" t="str"/>
      <x:c r="Y7" s="58" t="str">
        <x:v>compare_max</x:v>
      </x:c>
      <x:c r="Z7" s="58" t="str">
        <x:v>75</x:v>
      </x:c>
      <x:c r="AA7" s="58" t="str"/>
      <x:c r="AB7" s="58" t="str"/>
      <x:c r="AC7" s="58" t="str">
        <x:v>none</x:v>
      </x:c>
      <x:c r="AD7" s="58" t="str">
        <x:v>height_compliance</x:v>
      </x:c>
      <x:c r="AE7" s="58" t="str">
        <x:v>critical</x:v>
      </x:c>
      <x:c r="AF7" s="59" t="b">
        <x:v>1</x:v>
      </x:c>
      <x:c r="AG7" s="59" t="b">
        <x:v>1</x:v>
      </x:c>
      <x:c r="AH7" s="58" t="str">
        <x:v>Type IIB height threshold.</x:v>
      </x:c>
    </x:row>
    <x:row r="8">
      <x:c r="A8" s="58" t="str">
        <x:v>IBC-R1-007</x:v>
      </x:c>
      <x:c r="B8" s="58" t="str">
        <x:v>Height / Stories</x:v>
      </x:c>
      <x:c r="C8" s="58" t="str">
        <x:v>R-1 sprinklered Type IIA allowable stories</x:v>
      </x:c>
      <x:c r="D8" s="58" t="str">
        <x:v>numeric_threshold</x:v>
      </x:c>
      <x:c r="E8" s="58" t="str">
        <x:v>2021 IBC</x:v>
      </x:c>
      <x:c r="F8" s="58" t="str">
        <x:v>Table 504.4</x:v>
      </x:c>
      <x:c r="G8" s="58" t="str">
        <x:v>R-1</x:v>
      </x:c>
      <x:c r="H8" s="58" t="str">
        <x:v>NFPA 13</x:v>
      </x:c>
      <x:c r="I8" s="58" t="str">
        <x:v>IIA</x:v>
      </x:c>
      <x:c r="J8" s="58" t="str">
        <x:v>&lt;=</x:v>
      </x:c>
      <x:c r="K8" s="58" t="str">
        <x:v>5</x:v>
      </x:c>
      <x:c r="L8" s="58" t="str">
        <x:v>stories above grade plane</x:v>
      </x:c>
      <x:c r="M8" s="58" t="str">
        <x:v>For Group R-1 with NFPA 13 sprinklers, Type IIA is limited to 5 stories above...</x:v>
      </x:c>
      <x:c r="N8" s="58" t="str">
        <x:v>R-1; NFPA 13; Type IIA.</x:v>
      </x:c>
      <x:c r="O8" s="58" t="str">
        <x:v>Compare proposed story count to 5.</x:v>
      </x:c>
      <x:c r="P8" s="58" t="str">
        <x:v>Hard</x:v>
      </x:c>
      <x:c r="Q8" s="58" t="str">
        <x:v>Starter verified</x:v>
      </x:c>
      <x:c r="R8" s="58" t="str">
        <x:v>https://codes.iccsafe.org/content/IBC2021V2.0/chapter-5-general-building-heig...</x:v>
      </x:c>
      <x:c r="S8" s="58" t="str">
        <x:v>2026-09-29</x:v>
      </x:c>
      <x:c r="T8" s="58" t="str">
        <x:v>Directly matches the current five-story prototype assumption.</x:v>
      </x:c>
      <x:c r="U8" s="58" t="str">
        <x:v>active</x:v>
      </x:c>
      <x:c r="V8" s="58" t="str">
        <x:v>building</x:v>
      </x:c>
      <x:c r="W8" s="58" t="str">
        <x:v>story_count_above_grade</x:v>
      </x:c>
      <x:c r="X8" s="58" t="str"/>
      <x:c r="Y8" s="58" t="str">
        <x:v>compare_max</x:v>
      </x:c>
      <x:c r="Z8" s="58" t="str">
        <x:v>5</x:v>
      </x:c>
      <x:c r="AA8" s="58" t="str"/>
      <x:c r="AB8" s="58" t="str"/>
      <x:c r="AC8" s="58" t="str">
        <x:v>none</x:v>
      </x:c>
      <x:c r="AD8" s="58" t="str">
        <x:v>story_compliance</x:v>
      </x:c>
      <x:c r="AE8" s="58" t="str">
        <x:v>critical</x:v>
      </x:c>
      <x:c r="AF8" s="59" t="b">
        <x:v>1</x:v>
      </x:c>
      <x:c r="AG8" s="59" t="b">
        <x:v>1</x:v>
      </x:c>
      <x:c r="AH8" s="58" t="str">
        <x:v>Five-story Type IIA R-1 limit.</x:v>
      </x:c>
    </x:row>
    <x:row r="9">
      <x:c r="A9" s="58" t="str">
        <x:v>IBC-R1-008</x:v>
      </x:c>
      <x:c r="B9" s="58" t="str">
        <x:v>Height / Stories</x:v>
      </x:c>
      <x:c r="C9" s="58" t="str">
        <x:v>R-1 sprinklered Type IIB allowable stories</x:v>
      </x:c>
      <x:c r="D9" s="58" t="str">
        <x:v>numeric_threshold</x:v>
      </x:c>
      <x:c r="E9" s="58" t="str">
        <x:v>2021 IBC</x:v>
      </x:c>
      <x:c r="F9" s="58" t="str">
        <x:v>Table 504.4</x:v>
      </x:c>
      <x:c r="G9" s="58" t="str">
        <x:v>R-1</x:v>
      </x:c>
      <x:c r="H9" s="58" t="str">
        <x:v>NFPA 13</x:v>
      </x:c>
      <x:c r="I9" s="58" t="str">
        <x:v>IIB</x:v>
      </x:c>
      <x:c r="J9" s="58" t="str">
        <x:v>&lt;=</x:v>
      </x:c>
      <x:c r="K9" s="58" t="str">
        <x:v>5</x:v>
      </x:c>
      <x:c r="L9" s="58" t="str">
        <x:v>stories above grade plane</x:v>
      </x:c>
      <x:c r="M9" s="58" t="str">
        <x:v>For Group R-1 with NFPA 13 sprinklers, Type IIB is limited to 5 stories above...</x:v>
      </x:c>
      <x:c r="N9" s="58" t="str">
        <x:v>R-1; NFPA 13; Type IIB.</x:v>
      </x:c>
      <x:c r="O9" s="58" t="str">
        <x:v>Compare proposed story count to 5.</x:v>
      </x:c>
      <x:c r="P9" s="58" t="str">
        <x:v>Hard</x:v>
      </x:c>
      <x:c r="Q9" s="58" t="str">
        <x:v>Starter verified</x:v>
      </x:c>
      <x:c r="R9" s="58" t="str">
        <x:v>https://codes.iccsafe.org/content/IBC2021V2.0/chapter-5-general-building-heig...</x:v>
      </x:c>
      <x:c r="S9" s="58" t="str">
        <x:v>2026-09-29</x:v>
      </x:c>
      <x:c r="T9" s="58" t="str">
        <x:v>Directly matches the current five-story prototype assumption.</x:v>
      </x:c>
      <x:c r="U9" s="58" t="str">
        <x:v>active</x:v>
      </x:c>
      <x:c r="V9" s="58" t="str">
        <x:v>building</x:v>
      </x:c>
      <x:c r="W9" s="58" t="str">
        <x:v>story_count_above_grade</x:v>
      </x:c>
      <x:c r="X9" s="58" t="str"/>
      <x:c r="Y9" s="58" t="str">
        <x:v>compare_max</x:v>
      </x:c>
      <x:c r="Z9" s="58" t="str">
        <x:v>5</x:v>
      </x:c>
      <x:c r="AA9" s="58" t="str"/>
      <x:c r="AB9" s="58" t="str"/>
      <x:c r="AC9" s="58" t="str">
        <x:v>none</x:v>
      </x:c>
      <x:c r="AD9" s="58" t="str">
        <x:v>story_compliance</x:v>
      </x:c>
      <x:c r="AE9" s="58" t="str">
        <x:v>critical</x:v>
      </x:c>
      <x:c r="AF9" s="59" t="b">
        <x:v>1</x:v>
      </x:c>
      <x:c r="AG9" s="59" t="b">
        <x:v>1</x:v>
      </x:c>
      <x:c r="AH9" s="58" t="str">
        <x:v>Five-story Type IIB R-1 limit.</x:v>
      </x:c>
    </x:row>
    <x:row r="10">
      <x:c r="A10" s="58" t="str">
        <x:v>IBC-R1-010</x:v>
      </x:c>
      <x:c r="B10" s="58" t="str">
        <x:v>Area</x:v>
      </x:c>
      <x:c r="C10" s="58" t="str">
        <x:v>R-1 Type IIA allowable area factor, multistory sprinklered</x:v>
      </x:c>
      <x:c r="D10" s="58" t="str">
        <x:v>numeric_threshold</x:v>
      </x:c>
      <x:c r="E10" s="58" t="str">
        <x:v>2021 IBC</x:v>
      </x:c>
      <x:c r="F10" s="58" t="str">
        <x:v>Table 506.2</x:v>
      </x:c>
      <x:c r="G10" s="58" t="str">
        <x:v>R-1</x:v>
      </x:c>
      <x:c r="H10" s="58" t="str">
        <x:v>NFPA 13</x:v>
      </x:c>
      <x:c r="I10" s="58" t="str">
        <x:v>IIA</x:v>
      </x:c>
      <x:c r="J10" s="58" t="str">
        <x:v>&lt;=</x:v>
      </x:c>
      <x:c r="K10" s="58" t="str">
        <x:v>72000</x:v>
      </x:c>
      <x:c r="L10" s="58" t="str">
        <x:v>sf per story base factor</x:v>
      </x:c>
      <x:c r="M10" s="58" t="str">
        <x:v>For a multistory sprinklered R-1 building, the Type IIA tabular allowable are...</x:v>
      </x:c>
      <x:c r="N10" s="58" t="str">
        <x:v>R-1; Type IIA; multistory; NFPA 13.</x:v>
      </x:c>
      <x:c r="O10" s="58" t="str">
        <x:v>Compare calculated allowable-area method to proposed floor area.</x:v>
      </x:c>
      <x:c r="P10" s="58" t="str">
        <x:v>Hard</x:v>
      </x:c>
      <x:c r="Q10" s="58" t="str">
        <x:v>Starter verified</x:v>
      </x:c>
      <x:c r="R10" s="58" t="str">
        <x:v>https://codes.iccsafe.org/content/IBC2021V2.0/chapter-5-general-building-heig...</x:v>
      </x:c>
      <x:c r="S10" s="58" t="str">
        <x:v>2026-09-29</x:v>
      </x:c>
      <x:c r="T10" s="58" t="str">
        <x:v>Tabular base factor; not a complete final allowable-area calculation.</x:v>
      </x:c>
      <x:c r="U10" s="58" t="str">
        <x:v>active</x:v>
      </x:c>
      <x:c r="V10" s="58" t="str">
        <x:v>story</x:v>
      </x:c>
      <x:c r="W10" s="58" t="str">
        <x:v>floor_area_sf</x:v>
      </x:c>
      <x:c r="X10" s="58" t="str"/>
      <x:c r="Y10" s="58" t="str">
        <x:v>compare_max</x:v>
      </x:c>
      <x:c r="Z10" s="58" t="str">
        <x:v>72000</x:v>
      </x:c>
      <x:c r="AA10" s="58" t="str"/>
      <x:c r="AB10" s="58" t="str">
        <x:v>gross</x:v>
      </x:c>
      <x:c r="AC10" s="58" t="str">
        <x:v>none</x:v>
      </x:c>
      <x:c r="AD10" s="58" t="str">
        <x:v>allowable_area_screen</x:v>
      </x:c>
      <x:c r="AE10" s="58" t="str">
        <x:v>critical</x:v>
      </x:c>
      <x:c r="AF10" s="59" t="b">
        <x:v>1</x:v>
      </x:c>
      <x:c r="AG10" s="59" t="b">
        <x:v>1</x:v>
      </x:c>
      <x:c r="AH10" s="58" t="str">
        <x:v>Base table factor only; frontage/mixed-use logic remains separate.</x:v>
      </x:c>
    </x:row>
    <x:row r="11">
      <x:c r="A11" s="58" t="str">
        <x:v>IBC-R1-011</x:v>
      </x:c>
      <x:c r="B11" s="58" t="str">
        <x:v>Area</x:v>
      </x:c>
      <x:c r="C11" s="58" t="str">
        <x:v>R-1 Type IIB allowable area factor, multistory sprinklered</x:v>
      </x:c>
      <x:c r="D11" s="58" t="str">
        <x:v>numeric_threshold</x:v>
      </x:c>
      <x:c r="E11" s="58" t="str">
        <x:v>2021 IBC</x:v>
      </x:c>
      <x:c r="F11" s="58" t="str">
        <x:v>Table 506.2</x:v>
      </x:c>
      <x:c r="G11" s="58" t="str">
        <x:v>R-1</x:v>
      </x:c>
      <x:c r="H11" s="58" t="str">
        <x:v>NFPA 13</x:v>
      </x:c>
      <x:c r="I11" s="58" t="str">
        <x:v>IIB</x:v>
      </x:c>
      <x:c r="J11" s="58" t="str">
        <x:v>&lt;=</x:v>
      </x:c>
      <x:c r="K11" s="58" t="str">
        <x:v>48000</x:v>
      </x:c>
      <x:c r="L11" s="58" t="str">
        <x:v>sf per story base factor</x:v>
      </x:c>
      <x:c r="M11" s="58" t="str">
        <x:v>For a multistory sprinklered R-1 building, the Type IIB tabular allowable are...</x:v>
      </x:c>
      <x:c r="N11" s="58" t="str">
        <x:v>R-1; Type IIB; multistory; NFPA 13.</x:v>
      </x:c>
      <x:c r="O11" s="58" t="str">
        <x:v>Compare calculated allowable-area method to proposed floor area.</x:v>
      </x:c>
      <x:c r="P11" s="58" t="str">
        <x:v>Hard</x:v>
      </x:c>
      <x:c r="Q11" s="58" t="str">
        <x:v>Starter verified</x:v>
      </x:c>
      <x:c r="R11" s="58" t="str">
        <x:v>https://codes.iccsafe.org/content/IBC2021V2.0/chapter-5-general-building-heig...</x:v>
      </x:c>
      <x:c r="S11" s="58" t="str">
        <x:v>2026-09-29</x:v>
      </x:c>
      <x:c r="T11" s="58" t="str">
        <x:v>Tabular base factor; not a complete final allowable-area calculation.</x:v>
      </x:c>
      <x:c r="U11" s="58" t="str">
        <x:v>active</x:v>
      </x:c>
      <x:c r="V11" s="58" t="str">
        <x:v>story</x:v>
      </x:c>
      <x:c r="W11" s="58" t="str">
        <x:v>floor_area_sf</x:v>
      </x:c>
      <x:c r="X11" s="58" t="str"/>
      <x:c r="Y11" s="58" t="str">
        <x:v>compare_max</x:v>
      </x:c>
      <x:c r="Z11" s="58" t="str">
        <x:v>48000</x:v>
      </x:c>
      <x:c r="AA11" s="58" t="str"/>
      <x:c r="AB11" s="58" t="str">
        <x:v>gross</x:v>
      </x:c>
      <x:c r="AC11" s="58" t="str">
        <x:v>none</x:v>
      </x:c>
      <x:c r="AD11" s="58" t="str">
        <x:v>allowable_area_screen</x:v>
      </x:c>
      <x:c r="AE11" s="58" t="str">
        <x:v>critical</x:v>
      </x:c>
      <x:c r="AF11" s="59" t="b">
        <x:v>1</x:v>
      </x:c>
      <x:c r="AG11" s="59" t="b">
        <x:v>1</x:v>
      </x:c>
      <x:c r="AH11" s="58" t="str">
        <x:v>Base table factor only; frontage/mixed-use logic remains separate.</x:v>
      </x:c>
    </x:row>
    <x:row r="12">
      <x:c r="A12" s="58" t="str">
        <x:v>IBC-R1-012</x:v>
      </x:c>
      <x:c r="B12" s="58" t="str">
        <x:v>High-Rise Screen</x:v>
      </x:c>
      <x:c r="C12" s="58" t="str">
        <x:v>High-rise threshold screen</x:v>
      </x:c>
      <x:c r="D12" s="58" t="str">
        <x:v>numeric_threshold</x:v>
      </x:c>
      <x:c r="E12" s="58" t="str">
        <x:v>2021 IBC</x:v>
      </x:c>
      <x:c r="F12" s="58" t="str">
        <x:v>Section 202 / 403</x:v>
      </x:c>
      <x:c r="G12" s="58" t="str">
        <x:v>All</x:v>
      </x:c>
      <x:c r="H12" s="58"/>
      <x:c r="I12" s="58"/>
      <x:c r="J12" s="58" t="str">
        <x:v>&gt;</x:v>
      </x:c>
      <x:c r="K12" s="58" t="str">
        <x:v>75</x:v>
      </x:c>
      <x:c r="L12" s="58" t="str">
        <x:v>ft to occupied floor</x:v>
      </x:c>
      <x:c r="M12" s="58" t="str">
        <x:v>High-rise provisions are triggered when an occupied floor is located more tha...</x:v>
      </x:c>
      <x:c r="N12" s="58" t="str">
        <x:v>Any project near the threshold.</x:v>
      </x:c>
      <x:c r="O12" s="58" t="str">
        <x:v>Calculate elevation of highest occupied floor relative to lowest fire-departm...</x:v>
      </x:c>
      <x:c r="P12" s="58" t="str">
        <x:v>Hard</x:v>
      </x:c>
      <x:c r="Q12" s="58" t="str">
        <x:v>Starter verified</x:v>
      </x:c>
      <x:c r="R12" s="58" t="str">
        <x:v>https://codes.iccsafe.org/content/IBC2021V2.0/chapter-4-special-detailed-requ...</x:v>
      </x:c>
      <x:c r="S12" s="58" t="str">
        <x:v>2026-09-29</x:v>
      </x:c>
      <x:c r="T12" s="58" t="str">
        <x:v>Useful screening rule even though the current prototype is only five stories.</x:v>
      </x:c>
      <x:c r="U12" s="58" t="str">
        <x:v>active</x:v>
      </x:c>
      <x:c r="V12" s="58" t="str">
        <x:v>building</x:v>
      </x:c>
      <x:c r="W12" s="58" t="str">
        <x:v>highest_occupied_floor_elevation_ft</x:v>
      </x:c>
      <x:c r="X12" s="58" t="str">
        <x:v>fire_department_access_elevation_ft</x:v>
      </x:c>
      <x:c r="Y12" s="58" t="str">
        <x:v>difference_compare_max</x:v>
      </x:c>
      <x:c r="Z12" s="58" t="str">
        <x:v>75</x:v>
      </x:c>
      <x:c r="AA12" s="58" t="str"/>
      <x:c r="AB12" s="58" t="str"/>
      <x:c r="AC12" s="58" t="str">
        <x:v>none</x:v>
      </x:c>
      <x:c r="AD12" s="58" t="str">
        <x:v>high_rise_flag</x:v>
      </x:c>
      <x:c r="AE12" s="58" t="str">
        <x:v>critical</x:v>
      </x:c>
      <x:c r="AF12" s="59" t="b">
        <x:v>1</x:v>
      </x:c>
      <x:c r="AG12" s="59" t="b">
        <x:v>1</x:v>
      </x:c>
      <x:c r="AH12" s="58" t="str">
        <x:v>Compute elevation difference then compare.</x:v>
      </x:c>
    </x:row>
    <x:row r="13">
      <x:c r="A13" s="58" t="str">
        <x:v>IBC-R1-013</x:v>
      </x:c>
      <x:c r="B13" s="58" t="str">
        <x:v>Egress</x:v>
      </x:c>
      <x:c r="C13" s="58" t="str">
        <x:v>R-1 single-exit space maximum occupant load</x:v>
      </x:c>
      <x:c r="D13" s="58" t="str">
        <x:v>numeric_threshold</x:v>
      </x:c>
      <x:c r="E13" s="58" t="str">
        <x:v>2021 IBC</x:v>
      </x:c>
      <x:c r="F13" s="58" t="str">
        <x:v>Table 1006.2.1</x:v>
      </x:c>
      <x:c r="G13" s="58" t="str">
        <x:v>R-1</x:v>
      </x:c>
      <x:c r="H13" s="58" t="str">
        <x:v>Sprinklered</x:v>
      </x:c>
      <x:c r="I13" s="58"/>
      <x:c r="J13" s="58" t="str">
        <x:v>&lt;=</x:v>
      </x:c>
      <x:c r="K13" s="58" t="str">
        <x:v>10</x:v>
      </x:c>
      <x:c r="L13" s="58" t="str">
        <x:v>occupants</x:v>
      </x:c>
      <x:c r="M13" s="58" t="str">
        <x:v>A Group R-1 space can use one exit/exit-access doorway only within the table ...</x:v>
      </x:c>
      <x:c r="N13" s="58" t="str">
        <x:v>Sprinklered R-1 space relying on one exit/exit-access doorway.</x:v>
      </x:c>
      <x:c r="O13" s="58" t="str">
        <x:v>Calculate occupant load and compare to 10.</x:v>
      </x:c>
      <x:c r="P13" s="58" t="str">
        <x:v>Hard</x:v>
      </x:c>
      <x:c r="Q13" s="58" t="str">
        <x:v>Starter verified</x:v>
      </x:c>
      <x:c r="R13" s="58" t="str">
        <x:v>https://codes.iccsafe.org/content/IBC2021V2.0/chapter-10-means-of-egress</x:v>
      </x:c>
      <x:c r="S13" s="58" t="str">
        <x:v>2026-09-29</x:v>
      </x:c>
      <x:c r="T13" s="58" t="str">
        <x:v>Also subject to common-path limit.</x:v>
      </x:c>
      <x:c r="U13" s="58" t="str">
        <x:v>active</x:v>
      </x:c>
      <x:c r="V13" s="58" t="str">
        <x:v>space</x:v>
      </x:c>
      <x:c r="W13" s="58" t="str">
        <x:v>space_occupant_load</x:v>
      </x:c>
      <x:c r="X13" s="58" t="str"/>
      <x:c r="Y13" s="58" t="str">
        <x:v>compare_max</x:v>
      </x:c>
      <x:c r="Z13" s="58" t="str">
        <x:v>10</x:v>
      </x:c>
      <x:c r="AA13" s="58" t="str"/>
      <x:c r="AB13" s="58" t="str"/>
      <x:c r="AC13" s="58" t="str">
        <x:v>none</x:v>
      </x:c>
      <x:c r="AD13" s="58" t="str">
        <x:v>single_exit_space_ol_compliance</x:v>
      </x:c>
      <x:c r="AE13" s="58" t="str">
        <x:v>critical</x:v>
      </x:c>
      <x:c r="AF13" s="59" t="b">
        <x:v>1</x:v>
      </x:c>
      <x:c r="AG13" s="59" t="b">
        <x:v>1</x:v>
      </x:c>
      <x:c r="AH13" s="58" t="str">
        <x:v>Applies when one exit/exit-access doorway is proposed.</x:v>
      </x:c>
    </x:row>
    <x:row r="14">
      <x:c r="A14" s="58" t="str">
        <x:v>IBC-R1-014</x:v>
      </x:c>
      <x:c r="B14" s="58" t="str">
        <x:v>Egress</x:v>
      </x:c>
      <x:c r="C14" s="58" t="str">
        <x:v>R-1 single-exit common path maximum</x:v>
      </x:c>
      <x:c r="D14" s="58" t="str">
        <x:v>numeric_threshold</x:v>
      </x:c>
      <x:c r="E14" s="58" t="str">
        <x:v>2021 IBC</x:v>
      </x:c>
      <x:c r="F14" s="58" t="str">
        <x:v>Table 1006.2.1</x:v>
      </x:c>
      <x:c r="G14" s="58" t="str">
        <x:v>R-1</x:v>
      </x:c>
      <x:c r="H14" s="58" t="str">
        <x:v>Sprinklered</x:v>
      </x:c>
      <x:c r="I14" s="58"/>
      <x:c r="J14" s="58" t="str">
        <x:v>&lt;=</x:v>
      </x:c>
      <x:c r="K14" s="58" t="str">
        <x:v>75</x:v>
      </x:c>
      <x:c r="L14" s="58" t="str">
        <x:v>ft</x:v>
      </x:c>
      <x:c r="M14" s="58" t="str">
        <x:v>For sprinklered Group R-1 spaces using one exit/exit-access doorway, common p...</x:v>
      </x:c>
      <x:c r="N14" s="58" t="str">
        <x:v>Sprinklered R-1 space relying on one exit/exit-access doorway.</x:v>
      </x:c>
      <x:c r="O14" s="58" t="str">
        <x:v>Measure common path from most remote point to divergence.</x:v>
      </x:c>
      <x:c r="P14" s="58" t="str">
        <x:v>Hard</x:v>
      </x:c>
      <x:c r="Q14" s="58" t="str">
        <x:v>Starter verified</x:v>
      </x:c>
      <x:c r="R14" s="58" t="str">
        <x:v>https://codes.iccsafe.org/content/IBC2021V2.0/chapter-10-means-of-egress</x:v>
      </x:c>
      <x:c r="S14" s="58" t="str">
        <x:v>2026-09-29</x:v>
      </x:c>
      <x:c r="T14" s="58" t="str">
        <x:v>High-value early floor-plan constraint.</x:v>
      </x:c>
      <x:c r="U14" s="58" t="str">
        <x:v>active</x:v>
      </x:c>
      <x:c r="V14" s="58" t="str">
        <x:v>space</x:v>
      </x:c>
      <x:c r="W14" s="58" t="str">
        <x:v>common_path_ft</x:v>
      </x:c>
      <x:c r="X14" s="58" t="str"/>
      <x:c r="Y14" s="58" t="str">
        <x:v>compare_max</x:v>
      </x:c>
      <x:c r="Z14" s="58" t="str">
        <x:v>75</x:v>
      </x:c>
      <x:c r="AA14" s="58" t="str"/>
      <x:c r="AB14" s="58" t="str"/>
      <x:c r="AC14" s="58" t="str">
        <x:v>none</x:v>
      </x:c>
      <x:c r="AD14" s="58" t="str">
        <x:v>common_path_compliance</x:v>
      </x:c>
      <x:c r="AE14" s="58" t="str">
        <x:v>critical</x:v>
      </x:c>
      <x:c r="AF14" s="59" t="b">
        <x:v>1</x:v>
      </x:c>
      <x:c r="AG14" s="59" t="b">
        <x:v>1</x:v>
      </x:c>
      <x:c r="AH14" s="58" t="str">
        <x:v>Measure actual common path.</x:v>
      </x:c>
    </x:row>
    <x:row r="15">
      <x:c r="A15" s="58" t="str">
        <x:v>IBC-R1-015</x:v>
      </x:c>
      <x:c r="B15" s="58" t="str">
        <x:v>Egress</x:v>
      </x:c>
      <x:c r="C15" s="58" t="str">
        <x:v>Minimum exits per story: 1-500 occupants</x:v>
      </x:c>
      <x:c r="D15" s="58" t="str">
        <x:v>numeric_threshold</x:v>
      </x:c>
      <x:c r="E15" s="58" t="str">
        <x:v>2021 IBC</x:v>
      </x:c>
      <x:c r="F15" s="58" t="str">
        <x:v>Table 1006.3.3</x:v>
      </x:c>
      <x:c r="G15" s="58" t="str">
        <x:v>All</x:v>
      </x:c>
      <x:c r="H15" s="58"/>
      <x:c r="I15" s="58"/>
      <x:c r="J15" s="58" t="str">
        <x:v>eq</x:v>
      </x:c>
      <x:c r="K15" s="58" t="str">
        <x:v>2</x:v>
      </x:c>
      <x:c r="L15" s="58" t="str">
        <x:v>exits/access to exits</x:v>
      </x:c>
      <x:c r="M15" s="58" t="str">
        <x:v>Stories with an occupant load from 1 through 500 generally require at least 2...</x:v>
      </x:c>
      <x:c r="N15" s="58" t="str">
        <x:v>Story occupant load 1-500; subject to exceptions.</x:v>
      </x:c>
      <x:c r="O15" s="58" t="str">
        <x:v>Calculate story occupant load, then set minimum exits.</x:v>
      </x:c>
      <x:c r="P15" s="58" t="str">
        <x:v>Hard</x:v>
      </x:c>
      <x:c r="Q15" s="58" t="str">
        <x:v>Starter verified</x:v>
      </x:c>
      <x:c r="R15" s="58" t="str">
        <x:v>https://codes.iccsafe.org/content/IBC2021V2.0/chapter-10-means-of-egress</x:v>
      </x:c>
      <x:c r="S15" s="58" t="str">
        <x:v>2026-09-29</x:v>
      </x:c>
      <x:c r="T15" s="58"/>
      <x:c r="U15" s="58" t="str">
        <x:v>active</x:v>
      </x:c>
      <x:c r="V15" s="58" t="str">
        <x:v>story</x:v>
      </x:c>
      <x:c r="W15" s="58" t="str">
        <x:v>story_occupant_load</x:v>
      </x:c>
      <x:c r="X15" s="58" t="str">
        <x:v>provided_exit_count</x:v>
      </x:c>
      <x:c r="Y15" s="58" t="str">
        <x:v>minimum_required_by_range</x:v>
      </x:c>
      <x:c r="Z15" s="58" t="str">
        <x:v>500</x:v>
      </x:c>
      <x:c r="AA15" s="58" t="str">
        <x:v>2 exits</x:v>
      </x:c>
      <x:c r="AB15" s="58" t="str"/>
      <x:c r="AC15" s="58" t="str">
        <x:v>none</x:v>
      </x:c>
      <x:c r="AD15" s="58" t="str">
        <x:v>minimum_exit_count</x:v>
      </x:c>
      <x:c r="AE15" s="58" t="str">
        <x:v>critical</x:v>
      </x:c>
      <x:c r="AF15" s="59" t="b">
        <x:v>1</x:v>
      </x:c>
      <x:c r="AG15" s="59" t="b">
        <x:v>1</x:v>
      </x:c>
      <x:c r="AH15" s="58" t="str">
        <x:v>OL 1-500 -&gt; 2 exits, subject to exceptions.</x:v>
      </x:c>
    </x:row>
    <x:row r="16">
      <x:c r="A16" s="58" t="str">
        <x:v>IBC-R1-016</x:v>
      </x:c>
      <x:c r="B16" s="58" t="str">
        <x:v>Egress</x:v>
      </x:c>
      <x:c r="C16" s="58" t="str">
        <x:v>Minimum exits per story: 501-1000 occupants</x:v>
      </x:c>
      <x:c r="D16" s="58" t="str">
        <x:v>numeric_threshold</x:v>
      </x:c>
      <x:c r="E16" s="58" t="str">
        <x:v>2021 IBC</x:v>
      </x:c>
      <x:c r="F16" s="58" t="str">
        <x:v>Table 1006.3.3</x:v>
      </x:c>
      <x:c r="G16" s="58" t="str">
        <x:v>All</x:v>
      </x:c>
      <x:c r="H16" s="58"/>
      <x:c r="I16" s="58"/>
      <x:c r="J16" s="58" t="str">
        <x:v>eq</x:v>
      </x:c>
      <x:c r="K16" s="58" t="str">
        <x:v>3</x:v>
      </x:c>
      <x:c r="L16" s="58" t="str">
        <x:v>exits/access to exits</x:v>
      </x:c>
      <x:c r="M16" s="58" t="str">
        <x:v>Stories with an occupant load from 501 through 1,000 generally require at lea...</x:v>
      </x:c>
      <x:c r="N16" s="58" t="str">
        <x:v>Story occupant load 501-1000.</x:v>
      </x:c>
      <x:c r="O16" s="58" t="str">
        <x:v>Calculate story occupant load, then set minimum exits.</x:v>
      </x:c>
      <x:c r="P16" s="58" t="str">
        <x:v>Hard</x:v>
      </x:c>
      <x:c r="Q16" s="58" t="str">
        <x:v>Starter verified</x:v>
      </x:c>
      <x:c r="R16" s="58" t="str">
        <x:v>https://codes.iccsafe.org/content/IBC2021V2.0/chapter-10-means-of-egress</x:v>
      </x:c>
      <x:c r="S16" s="58" t="str">
        <x:v>2026-09-29</x:v>
      </x:c>
      <x:c r="T16" s="58"/>
      <x:c r="U16" s="58" t="str">
        <x:v>active</x:v>
      </x:c>
      <x:c r="V16" s="58" t="str">
        <x:v>story</x:v>
      </x:c>
      <x:c r="W16" s="58" t="str">
        <x:v>story_occupant_load</x:v>
      </x:c>
      <x:c r="X16" s="58" t="str">
        <x:v>provided_exit_count</x:v>
      </x:c>
      <x:c r="Y16" s="58" t="str">
        <x:v>minimum_required_by_range</x:v>
      </x:c>
      <x:c r="Z16" s="58" t="str">
        <x:v>1000</x:v>
      </x:c>
      <x:c r="AA16" s="58" t="str">
        <x:v>3 exits</x:v>
      </x:c>
      <x:c r="AB16" s="58" t="str"/>
      <x:c r="AC16" s="58" t="str">
        <x:v>none</x:v>
      </x:c>
      <x:c r="AD16" s="58" t="str">
        <x:v>minimum_exit_count</x:v>
      </x:c>
      <x:c r="AE16" s="58" t="str">
        <x:v>critical</x:v>
      </x:c>
      <x:c r="AF16" s="59" t="b">
        <x:v>1</x:v>
      </x:c>
      <x:c r="AG16" s="59" t="b">
        <x:v>1</x:v>
      </x:c>
      <x:c r="AH16" s="58" t="str">
        <x:v>OL 501-1000 -&gt; 3 exits.</x:v>
      </x:c>
    </x:row>
    <x:row r="17">
      <x:c r="A17" s="58" t="str">
        <x:v>IBC-R1-017</x:v>
      </x:c>
      <x:c r="B17" s="58" t="str">
        <x:v>Egress</x:v>
      </x:c>
      <x:c r="C17" s="58" t="str">
        <x:v>Minimum exits per story: over 1000 occupants</x:v>
      </x:c>
      <x:c r="D17" s="58" t="str">
        <x:v>numeric_threshold</x:v>
      </x:c>
      <x:c r="E17" s="58" t="str">
        <x:v>2021 IBC</x:v>
      </x:c>
      <x:c r="F17" s="58" t="str">
        <x:v>Table 1006.3.3</x:v>
      </x:c>
      <x:c r="G17" s="58" t="str">
        <x:v>All</x:v>
      </x:c>
      <x:c r="H17" s="58"/>
      <x:c r="I17" s="58"/>
      <x:c r="J17" s="58" t="str">
        <x:v>eq</x:v>
      </x:c>
      <x:c r="K17" s="58" t="str">
        <x:v>4</x:v>
      </x:c>
      <x:c r="L17" s="58" t="str">
        <x:v>exits/access to exits</x:v>
      </x:c>
      <x:c r="M17" s="58" t="str">
        <x:v>Stories with an occupant load greater than 1,000 generally require at least 4...</x:v>
      </x:c>
      <x:c r="N17" s="58" t="str">
        <x:v>Story occupant load &gt;1000.</x:v>
      </x:c>
      <x:c r="O17" s="58" t="str">
        <x:v>Calculate story occupant load, then set minimum exits.</x:v>
      </x:c>
      <x:c r="P17" s="58" t="str">
        <x:v>Hard</x:v>
      </x:c>
      <x:c r="Q17" s="58" t="str">
        <x:v>Starter verified</x:v>
      </x:c>
      <x:c r="R17" s="58" t="str">
        <x:v>https://codes.iccsafe.org/content/IBC2021V2.0/chapter-10-means-of-egress</x:v>
      </x:c>
      <x:c r="S17" s="58" t="str">
        <x:v>2026-09-29</x:v>
      </x:c>
      <x:c r="T17" s="58"/>
      <x:c r="U17" s="58" t="str">
        <x:v>active</x:v>
      </x:c>
      <x:c r="V17" s="58" t="str">
        <x:v>story</x:v>
      </x:c>
      <x:c r="W17" s="58" t="str">
        <x:v>story_occupant_load</x:v>
      </x:c>
      <x:c r="X17" s="58" t="str">
        <x:v>provided_exit_count</x:v>
      </x:c>
      <x:c r="Y17" s="58" t="str">
        <x:v>minimum_required_by_range</x:v>
      </x:c>
      <x:c r="Z17" s="58" t="str">
        <x:v>1001</x:v>
      </x:c>
      <x:c r="AA17" s="58" t="str">
        <x:v>4 exits</x:v>
      </x:c>
      <x:c r="AB17" s="58" t="str"/>
      <x:c r="AC17" s="58" t="str">
        <x:v>none</x:v>
      </x:c>
      <x:c r="AD17" s="58" t="str">
        <x:v>minimum_exit_count</x:v>
      </x:c>
      <x:c r="AE17" s="58" t="str">
        <x:v>critical</x:v>
      </x:c>
      <x:c r="AF17" s="59" t="b">
        <x:v>1</x:v>
      </x:c>
      <x:c r="AG17" s="59" t="b">
        <x:v>1</x:v>
      </x:c>
      <x:c r="AH17" s="58" t="str">
        <x:v>OL &gt;1000 -&gt; 4 exits.</x:v>
      </x:c>
    </x:row>
    <x:row r="18">
      <x:c r="A18" s="58" t="str">
        <x:v>IBC-R1-018</x:v>
      </x:c>
      <x:c r="B18" s="58" t="str">
        <x:v>Egress</x:v>
      </x:c>
      <x:c r="C18" s="58" t="str">
        <x:v>Exit separation in sprinklered building</x:v>
      </x:c>
      <x:c r="D18" s="58" t="str">
        <x:v>formula</x:v>
      </x:c>
      <x:c r="E18" s="58" t="str">
        <x:v>2021 IBC</x:v>
      </x:c>
      <x:c r="F18" s="58" t="str">
        <x:v>1007.1.1</x:v>
      </x:c>
      <x:c r="G18" s="58" t="str">
        <x:v>All</x:v>
      </x:c>
      <x:c r="H18" s="58" t="str">
        <x:v>Sprinklered</x:v>
      </x:c>
      <x:c r="I18" s="58"/>
      <x:c r="J18" s="58" t="str">
        <x:v>&gt;=</x:v>
      </x:c>
      <x:c r="K18" s="58" t="str">
        <x:v>1/3 of maximum overall diagonal</x:v>
      </x:c>
      <x:c r="L18" s="58" t="str">
        <x:v>ratio</x:v>
      </x:c>
      <x:c r="M18" s="58" t="str">
        <x:v>Where two exits or exit-access doorways are required in a sprinklered buildin...</x:v>
      </x:c>
      <x:c r="N18" s="58" t="str">
        <x:v>Two exits/exit-access doorways required; sprinklered building.</x:v>
      </x:c>
      <x:c r="O18" s="58" t="str">
        <x:v>Compute max overall diagonal x 1/3 and compare exit separation.</x:v>
      </x:c>
      <x:c r="P18" s="58" t="str">
        <x:v>Hard</x:v>
      </x:c>
      <x:c r="Q18" s="58" t="str">
        <x:v>Starter verified</x:v>
      </x:c>
      <x:c r="R18" s="58" t="str">
        <x:v>https://codes.iccsafe.org/content/IBC2021V2.0/chapter-10-means-of-egress</x:v>
      </x:c>
      <x:c r="S18" s="58" t="str">
        <x:v>2026-09-29</x:v>
      </x:c>
      <x:c r="T18" s="58"/>
      <x:c r="U18" s="58" t="str">
        <x:v>active</x:v>
      </x:c>
      <x:c r="V18" s="58" t="str">
        <x:v>space</x:v>
      </x:c>
      <x:c r="W18" s="58" t="str">
        <x:v>exit_separation_ft</x:v>
      </x:c>
      <x:c r="X18" s="58" t="str">
        <x:v>maximum_overall_diagonal_ft</x:v>
      </x:c>
      <x:c r="Y18" s="58" t="str">
        <x:v>ratio_compare_min</x:v>
      </x:c>
      <x:c r="Z18" s="58" t="str">
        <x:v>0.333333</x:v>
      </x:c>
      <x:c r="AA18" s="58" t="str">
        <x:v>1/3 diagonal</x:v>
      </x:c>
      <x:c r="AB18" s="58" t="str"/>
      <x:c r="AC18" s="58" t="str">
        <x:v>none</x:v>
      </x:c>
      <x:c r="AD18" s="58" t="str">
        <x:v>exit_separation_compliance</x:v>
      </x:c>
      <x:c r="AE18" s="58" t="str">
        <x:v>critical</x:v>
      </x:c>
      <x:c r="AF18" s="59" t="b">
        <x:v>1</x:v>
      </x:c>
      <x:c r="AG18" s="59" t="b">
        <x:v>1</x:v>
      </x:c>
      <x:c r="AH18" s="58" t="str">
        <x:v>Required separation = max diagonal x 1/3.</x:v>
      </x:c>
    </x:row>
    <x:row r="19">
      <x:c r="A19" s="58" t="str">
        <x:v>IBC-R1-019</x:v>
      </x:c>
      <x:c r="B19" s="58" t="str">
        <x:v>Egress</x:v>
      </x:c>
      <x:c r="C19" s="58" t="str">
        <x:v>Stair minimum width</x:v>
      </x:c>
      <x:c r="D19" s="58" t="str">
        <x:v>numeric_threshold</x:v>
      </x:c>
      <x:c r="E19" s="58" t="str">
        <x:v>2021 IBC</x:v>
      </x:c>
      <x:c r="F19" s="58" t="str">
        <x:v>1011.2</x:v>
      </x:c>
      <x:c r="G19" s="58" t="str">
        <x:v>All</x:v>
      </x:c>
      <x:c r="H19" s="58"/>
      <x:c r="I19" s="58"/>
      <x:c r="J19" s="58" t="str">
        <x:v>&gt;=</x:v>
      </x:c>
      <x:c r="K19" s="58" t="str">
        <x:v>44</x:v>
      </x:c>
      <x:c r="L19" s="58" t="str">
        <x:v>in</x:v>
      </x:c>
      <x:c r="M19" s="58" t="str">
        <x:v>Required stairways are generally at least 44 inches wide.</x:v>
      </x:c>
      <x:c r="N19" s="58" t="str">
        <x:v>Required stairway; occupant load 50 or more.</x:v>
      </x:c>
      <x:c r="O19" s="58" t="str">
        <x:v>Compare stair clear width and egress capacity.</x:v>
      </x:c>
      <x:c r="P19" s="58" t="str">
        <x:v>Hard</x:v>
      </x:c>
      <x:c r="Q19" s="58" t="str">
        <x:v>Starter verified</x:v>
      </x:c>
      <x:c r="R19" s="58" t="str">
        <x:v>https://codes.iccsafe.org/content/IBC2021V2.0/chapter-10-means-of-egress</x:v>
      </x:c>
      <x:c r="S19" s="58" t="str">
        <x:v>2026-09-29</x:v>
      </x:c>
      <x:c r="T19" s="58" t="str">
        <x:v>Exception permits 36 inches for stairways serving occupant load under 50.</x:v>
      </x:c>
      <x:c r="U19" s="58" t="str">
        <x:v>active</x:v>
      </x:c>
      <x:c r="V19" s="58" t="str">
        <x:v>stair</x:v>
      </x:c>
      <x:c r="W19" s="58" t="str">
        <x:v>stair_clear_width_in</x:v>
      </x:c>
      <x:c r="X19" s="58" t="str">
        <x:v>stair_occupant_load</x:v>
      </x:c>
      <x:c r="Y19" s="58" t="str">
        <x:v>compare_min</x:v>
      </x:c>
      <x:c r="Z19" s="58" t="str">
        <x:v>44</x:v>
      </x:c>
      <x:c r="AA19" s="58" t="str"/>
      <x:c r="AB19" s="58" t="str"/>
      <x:c r="AC19" s="58" t="str">
        <x:v>none</x:v>
      </x:c>
      <x:c r="AD19" s="58" t="str">
        <x:v>stair_width_compliance</x:v>
      </x:c>
      <x:c r="AE19" s="58" t="str">
        <x:v>critical</x:v>
      </x:c>
      <x:c r="AF19" s="59" t="b">
        <x:v>1</x:v>
      </x:c>
      <x:c r="AG19" s="59" t="b">
        <x:v>1</x:v>
      </x:c>
      <x:c r="AH19" s="58" t="str">
        <x:v>Default stair-width screen.</x:v>
      </x:c>
    </x:row>
    <x:row r="20">
      <x:c r="A20" s="58" t="str">
        <x:v>IBC-R1-020</x:v>
      </x:c>
      <x:c r="B20" s="58" t="str">
        <x:v>Egress</x:v>
      </x:c>
      <x:c r="C20" s="58" t="str">
        <x:v>Stair minimum width for occupant load under 50</x:v>
      </x:c>
      <x:c r="D20" s="58" t="str">
        <x:v>numeric_threshold</x:v>
      </x:c>
      <x:c r="E20" s="58" t="str">
        <x:v>2021 IBC</x:v>
      </x:c>
      <x:c r="F20" s="58" t="str">
        <x:v>1011.2 Exception 1</x:v>
      </x:c>
      <x:c r="G20" s="58" t="str">
        <x:v>All</x:v>
      </x:c>
      <x:c r="H20" s="58"/>
      <x:c r="I20" s="58"/>
      <x:c r="J20" s="58" t="str">
        <x:v>&gt;=</x:v>
      </x:c>
      <x:c r="K20" s="58" t="str">
        <x:v>36</x:v>
      </x:c>
      <x:c r="L20" s="58" t="str">
        <x:v>in</x:v>
      </x:c>
      <x:c r="M20" s="58" t="str">
        <x:v>Stairways serving an occupant load less than 50 may be at least 36 inches wide.</x:v>
      </x:c>
      <x:c r="N20" s="58" t="str">
        <x:v>Stair occupant load &lt;50.</x:v>
      </x:c>
      <x:c r="O20" s="58" t="str">
        <x:v>If occupant load &lt;50, compare clear width to 36 in.</x:v>
      </x:c>
      <x:c r="P20" s="58" t="str">
        <x:v>Hard</x:v>
      </x:c>
      <x:c r="Q20" s="58" t="str">
        <x:v>Starter verified</x:v>
      </x:c>
      <x:c r="R20" s="58" t="str">
        <x:v>https://codes.iccsafe.org/content/IBC2021V2.0/chapter-10-means-of-egress</x:v>
      </x:c>
      <x:c r="S20" s="58" t="str">
        <x:v>2026-09-29</x:v>
      </x:c>
      <x:c r="T20" s="58"/>
      <x:c r="U20" s="58" t="str">
        <x:v>active</x:v>
      </x:c>
      <x:c r="V20" s="58" t="str">
        <x:v>stair</x:v>
      </x:c>
      <x:c r="W20" s="58" t="str">
        <x:v>stair_clear_width_in</x:v>
      </x:c>
      <x:c r="X20" s="58" t="str">
        <x:v>stair_occupant_load</x:v>
      </x:c>
      <x:c r="Y20" s="58" t="str">
        <x:v>conditional_compare_min</x:v>
      </x:c>
      <x:c r="Z20" s="58" t="str">
        <x:v>36</x:v>
      </x:c>
      <x:c r="AA20" s="58" t="str">
        <x:v>occupant load &lt; 50</x:v>
      </x:c>
      <x:c r="AB20" s="58" t="str"/>
      <x:c r="AC20" s="58" t="str">
        <x:v>none</x:v>
      </x:c>
      <x:c r="AD20" s="58" t="str">
        <x:v>stair_width_compliance</x:v>
      </x:c>
      <x:c r="AE20" s="58" t="str">
        <x:v>critical</x:v>
      </x:c>
      <x:c r="AF20" s="59" t="b">
        <x:v>1</x:v>
      </x:c>
      <x:c r="AG20" s="59" t="b">
        <x:v>1</x:v>
      </x:c>
      <x:c r="AH20" s="58" t="str">
        <x:v>Conditional under-50 rule.</x:v>
      </x:c>
    </x:row>
    <x:row r="21">
      <x:c r="A21" s="58" t="str">
        <x:v>IBC-R1-021</x:v>
      </x:c>
      <x:c r="B21" s="58" t="str">
        <x:v>Egress</x:v>
      </x:c>
      <x:c r="C21" s="58" t="str">
        <x:v>Stair maximum riser height</x:v>
      </x:c>
      <x:c r="D21" s="58" t="str">
        <x:v>numeric_threshold</x:v>
      </x:c>
      <x:c r="E21" s="58" t="str">
        <x:v>2021 IBC</x:v>
      </x:c>
      <x:c r="F21" s="58" t="str">
        <x:v>1011.5.2</x:v>
      </x:c>
      <x:c r="G21" s="58" t="str">
        <x:v>All</x:v>
      </x:c>
      <x:c r="H21" s="58"/>
      <x:c r="I21" s="58"/>
      <x:c r="J21" s="58" t="str">
        <x:v>&lt;=</x:v>
      </x:c>
      <x:c r="K21" s="58" t="str">
        <x:v>7</x:v>
      </x:c>
      <x:c r="L21" s="58" t="str">
        <x:v>in</x:v>
      </x:c>
      <x:c r="M21" s="58" t="str">
        <x:v>Typical egress stair riser height is limited to 7 inches maximum.</x:v>
      </x:c>
      <x:c r="N21" s="58" t="str">
        <x:v>Standard egress stair; exceptions may apply.</x:v>
      </x:c>
      <x:c r="O21" s="58" t="str">
        <x:v>Compare proposed riser to 7 in.</x:v>
      </x:c>
      <x:c r="P21" s="58" t="str">
        <x:v>Hard</x:v>
      </x:c>
      <x:c r="Q21" s="58" t="str">
        <x:v>Starter - verify before final</x:v>
      </x:c>
      <x:c r="R21" s="58" t="str">
        <x:v>https://codes.iccsafe.org/content/IBC2021V2.0/chapter-10-means-of-egress</x:v>
      </x:c>
      <x:c r="S21" s="58" t="str">
        <x:v>2026-09-29</x:v>
      </x:c>
      <x:c r="T21" s="58"/>
      <x:c r="U21" s="58" t="str">
        <x:v>needs_review</x:v>
      </x:c>
      <x:c r="V21" s="58" t="str">
        <x:v>stair</x:v>
      </x:c>
      <x:c r="W21" s="58" t="str">
        <x:v>riser_height_in</x:v>
      </x:c>
      <x:c r="X21" s="58" t="str"/>
      <x:c r="Y21" s="58" t="str">
        <x:v>compare_max</x:v>
      </x:c>
      <x:c r="Z21" s="58" t="str">
        <x:v>7</x:v>
      </x:c>
      <x:c r="AA21" s="58" t="str"/>
      <x:c r="AB21" s="58" t="str"/>
      <x:c r="AC21" s="58" t="str">
        <x:v>none</x:v>
      </x:c>
      <x:c r="AD21" s="58" t="str">
        <x:v>riser_compliance</x:v>
      </x:c>
      <x:c r="AE21" s="58" t="str">
        <x:v>critical</x:v>
      </x:c>
      <x:c r="AF21" s="59" t="b">
        <x:v>1</x:v>
      </x:c>
      <x:c r="AG21" s="59" t="b">
        <x:v>1</x:v>
      </x:c>
      <x:c r="AH21" s="58" t="str">
        <x:v>Verify final source/exceptions before production use.</x:v>
      </x:c>
    </x:row>
    <x:row r="22">
      <x:c r="A22" s="58" t="str">
        <x:v>IBC-R1-022</x:v>
      </x:c>
      <x:c r="B22" s="58" t="str">
        <x:v>Egress</x:v>
      </x:c>
      <x:c r="C22" s="58" t="str">
        <x:v>Stair minimum tread depth</x:v>
      </x:c>
      <x:c r="D22" s="58" t="str">
        <x:v>numeric_threshold</x:v>
      </x:c>
      <x:c r="E22" s="58" t="str">
        <x:v>2021 IBC</x:v>
      </x:c>
      <x:c r="F22" s="58" t="str">
        <x:v>1011.5.2</x:v>
      </x:c>
      <x:c r="G22" s="58" t="str">
        <x:v>All</x:v>
      </x:c>
      <x:c r="H22" s="58"/>
      <x:c r="I22" s="58"/>
      <x:c r="J22" s="58" t="str">
        <x:v>&gt;=</x:v>
      </x:c>
      <x:c r="K22" s="58" t="str">
        <x:v>11</x:v>
      </x:c>
      <x:c r="L22" s="58" t="str">
        <x:v>in</x:v>
      </x:c>
      <x:c r="M22" s="58" t="str">
        <x:v>Typical rectangular egress stair tread depth is 11 inches minimum.</x:v>
      </x:c>
      <x:c r="N22" s="58" t="str">
        <x:v>Standard egress stair; exceptions may apply.</x:v>
      </x:c>
      <x:c r="O22" s="58" t="str">
        <x:v>Compare proposed tread depth to 11 in.</x:v>
      </x:c>
      <x:c r="P22" s="58" t="str">
        <x:v>Hard</x:v>
      </x:c>
      <x:c r="Q22" s="58" t="str">
        <x:v>Starter - verify before final</x:v>
      </x:c>
      <x:c r="R22" s="58" t="str">
        <x:v>https://codes.iccsafe.org/content/IBC2021V2.0/chapter-10-means-of-egress</x:v>
      </x:c>
      <x:c r="S22" s="58" t="str">
        <x:v>2026-09-29</x:v>
      </x:c>
      <x:c r="T22" s="58"/>
      <x:c r="U22" s="58" t="str">
        <x:v>needs_review</x:v>
      </x:c>
      <x:c r="V22" s="58" t="str">
        <x:v>stair</x:v>
      </x:c>
      <x:c r="W22" s="58" t="str">
        <x:v>tread_depth_in</x:v>
      </x:c>
      <x:c r="X22" s="58" t="str"/>
      <x:c r="Y22" s="58" t="str">
        <x:v>compare_min</x:v>
      </x:c>
      <x:c r="Z22" s="58" t="str">
        <x:v>11</x:v>
      </x:c>
      <x:c r="AA22" s="58" t="str"/>
      <x:c r="AB22" s="58" t="str"/>
      <x:c r="AC22" s="58" t="str">
        <x:v>none</x:v>
      </x:c>
      <x:c r="AD22" s="58" t="str">
        <x:v>tread_compliance</x:v>
      </x:c>
      <x:c r="AE22" s="58" t="str">
        <x:v>critical</x:v>
      </x:c>
      <x:c r="AF22" s="59" t="b">
        <x:v>1</x:v>
      </x:c>
      <x:c r="AG22" s="59" t="b">
        <x:v>1</x:v>
      </x:c>
      <x:c r="AH22" s="58" t="str">
        <x:v>Verify final source/exceptions before production use.</x:v>
      </x:c>
    </x:row>
    <x:row r="23">
      <x:c r="A23" s="58" t="str">
        <x:v>IBC-R1-023</x:v>
      </x:c>
      <x:c r="B23" s="58" t="str">
        <x:v>Egress</x:v>
      </x:c>
      <x:c r="C23" s="58" t="str">
        <x:v>R exit access travel distance, sprinklered</x:v>
      </x:c>
      <x:c r="D23" s="58" t="str">
        <x:v>numeric_threshold</x:v>
      </x:c>
      <x:c r="E23" s="58" t="str">
        <x:v>2021 IBC</x:v>
      </x:c>
      <x:c r="F23" s="58" t="str">
        <x:v>Table 1017.2</x:v>
      </x:c>
      <x:c r="G23" s="58" t="str">
        <x:v>R</x:v>
      </x:c>
      <x:c r="H23" s="58" t="str">
        <x:v>Sprinklered</x:v>
      </x:c>
      <x:c r="I23" s="58"/>
      <x:c r="J23" s="58" t="str">
        <x:v>&lt;=</x:v>
      </x:c>
      <x:c r="K23" s="58" t="str">
        <x:v>250</x:v>
      </x:c>
      <x:c r="L23" s="58" t="str">
        <x:v>ft</x:v>
      </x:c>
      <x:c r="M23" s="58" t="str">
        <x:v>For Group R in a sprinklered building, exit access travel distance is general...</x:v>
      </x:c>
      <x:c r="N23" s="58" t="str">
        <x:v>Group R; sprinklered; subject to listed modifications.</x:v>
      </x:c>
      <x:c r="O23" s="58" t="str">
        <x:v>Measure actual path from most remote point to an exit.</x:v>
      </x:c>
      <x:c r="P23" s="58" t="str">
        <x:v>Hard</x:v>
      </x:c>
      <x:c r="Q23" s="58" t="str">
        <x:v>Starter verified</x:v>
      </x:c>
      <x:c r="R23" s="58" t="str">
        <x:v>https://codes.iccsafe.org/content/IBC2021V2.0/chapter-10-means-of-egress</x:v>
      </x:c>
      <x:c r="S23" s="58" t="str">
        <x:v>2026-09-29</x:v>
      </x:c>
      <x:c r="T23" s="58"/>
      <x:c r="U23" s="58" t="str">
        <x:v>active</x:v>
      </x:c>
      <x:c r="V23" s="58" t="str">
        <x:v>egress_path</x:v>
      </x:c>
      <x:c r="W23" s="58" t="str">
        <x:v>exit_access_travel_distance_ft</x:v>
      </x:c>
      <x:c r="X23" s="58" t="str"/>
      <x:c r="Y23" s="58" t="str">
        <x:v>compare_max</x:v>
      </x:c>
      <x:c r="Z23" s="58" t="str">
        <x:v>250</x:v>
      </x:c>
      <x:c r="AA23" s="58" t="str"/>
      <x:c r="AB23" s="58" t="str"/>
      <x:c r="AC23" s="58" t="str">
        <x:v>none</x:v>
      </x:c>
      <x:c r="AD23" s="58" t="str">
        <x:v>travel_distance_compliance</x:v>
      </x:c>
      <x:c r="AE23" s="58" t="str">
        <x:v>critical</x:v>
      </x:c>
      <x:c r="AF23" s="59" t="b">
        <x:v>1</x:v>
      </x:c>
      <x:c r="AG23" s="59" t="b">
        <x:v>1</x:v>
      </x:c>
      <x:c r="AH23" s="58" t="str">
        <x:v>Sprinklered Group R travel-distance screen.</x:v>
      </x:c>
    </x:row>
    <x:row r="24">
      <x:c r="A24" s="58" t="str">
        <x:v>IBC-R1-024</x:v>
      </x:c>
      <x:c r="B24" s="58" t="str">
        <x:v>Corridors</x:v>
      </x:c>
      <x:c r="C24" s="58" t="str">
        <x:v>R corridor fire-resistance rating</x:v>
      </x:c>
      <x:c r="D24" s="58" t="str">
        <x:v>numeric_threshold</x:v>
      </x:c>
      <x:c r="E24" s="58" t="str">
        <x:v>2021 IBC</x:v>
      </x:c>
      <x:c r="F24" s="58" t="str">
        <x:v>Table 1020.2</x:v>
      </x:c>
      <x:c r="G24" s="58" t="str">
        <x:v>R</x:v>
      </x:c>
      <x:c r="H24" s="58" t="str">
        <x:v>NFPA 13</x:v>
      </x:c>
      <x:c r="I24" s="58"/>
      <x:c r="J24" s="58" t="str">
        <x:v>eq</x:v>
      </x:c>
      <x:c r="K24" s="58" t="str">
        <x:v>0.5</x:v>
      </x:c>
      <x:c r="L24" s="58" t="str">
        <x:v>hour</x:v>
      </x:c>
      <x:c r="M24" s="58" t="str">
        <x:v>A sprinklered Group R corridor serving an occupant load greater than 10 gener...</x:v>
      </x:c>
      <x:c r="N24" s="58" t="str">
        <x:v>Group R corridor; occupant load served &gt;10; sprinklered.</x:v>
      </x:c>
      <x:c r="O24" s="58" t="str">
        <x:v>Set corridor rating based on occupancy/load/sprinkler condition.</x:v>
      </x:c>
      <x:c r="P24" s="58" t="str">
        <x:v>Hard</x:v>
      </x:c>
      <x:c r="Q24" s="58" t="str">
        <x:v>Starter verified</x:v>
      </x:c>
      <x:c r="R24" s="58" t="str">
        <x:v>https://codes.iccsafe.org/content/IBC2021V2.0/chapter-10-means-of-egress</x:v>
      </x:c>
      <x:c r="S24" s="58" t="str">
        <x:v>2026-09-29</x:v>
      </x:c>
      <x:c r="T24" s="58"/>
      <x:c r="U24" s="58" t="str">
        <x:v>active</x:v>
      </x:c>
      <x:c r="V24" s="58" t="str">
        <x:v>corridor</x:v>
      </x:c>
      <x:c r="W24" s="58" t="str">
        <x:v>corridor_fire_rating_hr</x:v>
      </x:c>
      <x:c r="X24" s="58" t="str">
        <x:v>corridor_occupant_load</x:v>
      </x:c>
      <x:c r="Y24" s="58" t="str">
        <x:v>conditional_compare_min</x:v>
      </x:c>
      <x:c r="Z24" s="58" t="str">
        <x:v>0.5</x:v>
      </x:c>
      <x:c r="AA24" s="58" t="str">
        <x:v>occupant load &gt; 10</x:v>
      </x:c>
      <x:c r="AB24" s="58" t="str"/>
      <x:c r="AC24" s="58" t="str">
        <x:v>none</x:v>
      </x:c>
      <x:c r="AD24" s="58" t="str">
        <x:v>corridor_rating_compliance</x:v>
      </x:c>
      <x:c r="AE24" s="58" t="str">
        <x:v>critical</x:v>
      </x:c>
      <x:c r="AF24" s="59" t="b">
        <x:v>1</x:v>
      </x:c>
      <x:c r="AG24" s="59" t="b">
        <x:v>1</x:v>
      </x:c>
      <x:c r="AH24" s="58" t="str">
        <x:v>Conditional Group R corridor rating.</x:v>
      </x:c>
    </x:row>
    <x:row r="25">
      <x:c r="A25" s="58" t="str">
        <x:v>IBC-R1-025</x:v>
      </x:c>
      <x:c r="B25" s="58" t="str">
        <x:v>Corridors</x:v>
      </x:c>
      <x:c r="C25" s="58" t="str">
        <x:v>Default minimum corridor width</x:v>
      </x:c>
      <x:c r="D25" s="58" t="str">
        <x:v>numeric_threshold</x:v>
      </x:c>
      <x:c r="E25" s="58" t="str">
        <x:v>2021 IBC</x:v>
      </x:c>
      <x:c r="F25" s="58" t="str">
        <x:v>Table 1020.3</x:v>
      </x:c>
      <x:c r="G25" s="58" t="str">
        <x:v>All</x:v>
      </x:c>
      <x:c r="H25" s="58"/>
      <x:c r="I25" s="58"/>
      <x:c r="J25" s="58" t="str">
        <x:v>&gt;=</x:v>
      </x:c>
      <x:c r="K25" s="58" t="str">
        <x:v>44</x:v>
      </x:c>
      <x:c r="L25" s="58" t="str">
        <x:v>in</x:v>
      </x:c>
      <x:c r="M25" s="58" t="str">
        <x:v>Corridors not otherwise listed in the table are generally at least 44 inches wide.</x:v>
      </x:c>
      <x:c r="N25" s="58" t="str">
        <x:v>Typical hotel corridor unless another condition is more restrictive.</x:v>
      </x:c>
      <x:c r="O25" s="58" t="str">
        <x:v>Compare corridor clear width to 44 in and capacity requirement.</x:v>
      </x:c>
      <x:c r="P25" s="58" t="str">
        <x:v>Hard</x:v>
      </x:c>
      <x:c r="Q25" s="58" t="str">
        <x:v>Starter verified</x:v>
      </x:c>
      <x:c r="R25" s="58" t="str">
        <x:v>https://codes.iccsafe.org/content/IBC2021V2.0/chapter-10-means-of-egress</x:v>
      </x:c>
      <x:c r="S25" s="58" t="str">
        <x:v>2026-09-29</x:v>
      </x:c>
      <x:c r="T25" s="58" t="str">
        <x:v>Hotel planning may intentionally use wider corridors; that belongs in the planning-rule database, not the IBC database.</x:v>
      </x:c>
      <x:c r="U25" s="58" t="str">
        <x:v>active</x:v>
      </x:c>
      <x:c r="V25" s="58" t="str">
        <x:v>corridor</x:v>
      </x:c>
      <x:c r="W25" s="58" t="str">
        <x:v>corridor_clear_width_in</x:v>
      </x:c>
      <x:c r="X25" s="58" t="str"/>
      <x:c r="Y25" s="58" t="str">
        <x:v>compare_min</x:v>
      </x:c>
      <x:c r="Z25" s="58" t="str">
        <x:v>44</x:v>
      </x:c>
      <x:c r="AA25" s="58" t="str"/>
      <x:c r="AB25" s="58" t="str"/>
      <x:c r="AC25" s="58" t="str">
        <x:v>none</x:v>
      </x:c>
      <x:c r="AD25" s="58" t="str">
        <x:v>corridor_width_compliance</x:v>
      </x:c>
      <x:c r="AE25" s="58" t="str">
        <x:v>critical</x:v>
      </x:c>
      <x:c r="AF25" s="59" t="b">
        <x:v>1</x:v>
      </x:c>
      <x:c r="AG25" s="59" t="b">
        <x:v>1</x:v>
      </x:c>
      <x:c r="AH25" s="58" t="str">
        <x:v>Default corridor width.</x:v>
      </x:c>
    </x:row>
    <x:row r="26">
      <x:c r="A26" s="58" t="str">
        <x:v>IBC-R1-026</x:v>
      </x:c>
      <x:c r="B26" s="58" t="str">
        <x:v>Corridors</x:v>
      </x:c>
      <x:c r="C26" s="58" t="str">
        <x:v>Minimum corridor width when occupant load is under 50</x:v>
      </x:c>
      <x:c r="D26" s="58" t="str">
        <x:v>numeric_threshold</x:v>
      </x:c>
      <x:c r="E26" s="58" t="str">
        <x:v>2021 IBC</x:v>
      </x:c>
      <x:c r="F26" s="58" t="str">
        <x:v>Table 1020.3</x:v>
      </x:c>
      <x:c r="G26" s="58" t="str">
        <x:v>All</x:v>
      </x:c>
      <x:c r="H26" s="58"/>
      <x:c r="I26" s="58"/>
      <x:c r="J26" s="58" t="str">
        <x:v>&gt;=</x:v>
      </x:c>
      <x:c r="K26" s="58" t="str">
        <x:v>36</x:v>
      </x:c>
      <x:c r="L26" s="58" t="str">
        <x:v>in</x:v>
      </x:c>
      <x:c r="M26" s="58" t="str">
        <x:v>A corridor serving an occupant load less than 50 may be 36 inches minimum where no more restrictive provision applies.</x:v>
      </x:c>
      <x:c r="N26" s="58" t="str">
        <x:v>Occupant load served &lt;50 and no other table condition controls.</x:v>
      </x:c>
      <x:c r="O26" s="58" t="str">
        <x:v>Calculate corridor occupant load then compare width.</x:v>
      </x:c>
      <x:c r="P26" s="58" t="str">
        <x:v>Hard</x:v>
      </x:c>
      <x:c r="Q26" s="58" t="str">
        <x:v>Starter verified</x:v>
      </x:c>
      <x:c r="R26" s="58" t="str">
        <x:v>https://codes.iccsafe.org/content/IBC2021V2.0/chapter-10-means-of-egress</x:v>
      </x:c>
      <x:c r="S26" s="58" t="str">
        <x:v>2026-09-29</x:v>
      </x:c>
      <x:c r="T26" s="58"/>
      <x:c r="U26" s="58" t="str">
        <x:v>active</x:v>
      </x:c>
      <x:c r="V26" s="58" t="str">
        <x:v>corridor</x:v>
      </x:c>
      <x:c r="W26" s="58" t="str">
        <x:v>corridor_clear_width_in</x:v>
      </x:c>
      <x:c r="X26" s="58" t="str">
        <x:v>corridor_occupant_load</x:v>
      </x:c>
      <x:c r="Y26" s="58" t="str">
        <x:v>conditional_compare_min</x:v>
      </x:c>
      <x:c r="Z26" s="58" t="str">
        <x:v>36</x:v>
      </x:c>
      <x:c r="AA26" s="58" t="str">
        <x:v>occupant load &lt; 50</x:v>
      </x:c>
      <x:c r="AB26" s="58" t="str"/>
      <x:c r="AC26" s="58" t="str">
        <x:v>none</x:v>
      </x:c>
      <x:c r="AD26" s="58" t="str">
        <x:v>corridor_width_compliance</x:v>
      </x:c>
      <x:c r="AE26" s="58" t="str">
        <x:v>critical</x:v>
      </x:c>
      <x:c r="AF26" s="59" t="b">
        <x:v>1</x:v>
      </x:c>
      <x:c r="AG26" s="59" t="b">
        <x:v>1</x:v>
      </x:c>
      <x:c r="AH26" s="58" t="str">
        <x:v>Conditional narrow-corridor rule.</x:v>
      </x:c>
    </x:row>
    <x:row r="27">
      <x:c r="A27" s="58" t="str">
        <x:v>IBC-R1-027</x:v>
      </x:c>
      <x:c r="B27" s="58" t="str">
        <x:v>Corridors</x:v>
      </x:c>
      <x:c r="C27" s="58" t="str">
        <x:v>Dead-end corridor maximum for sprinklered R-1</x:v>
      </x:c>
      <x:c r="D27" s="58" t="str">
        <x:v>numeric_threshold</x:v>
      </x:c>
      <x:c r="E27" s="58" t="str">
        <x:v>2021 IBC</x:v>
      </x:c>
      <x:c r="F27" s="58" t="str">
        <x:v>1020.5 Exception 2</x:v>
      </x:c>
      <x:c r="G27" s="58" t="str">
        <x:v>R-1</x:v>
      </x:c>
      <x:c r="H27" s="58" t="str">
        <x:v>NFPA 13</x:v>
      </x:c>
      <x:c r="I27" s="58"/>
      <x:c r="J27" s="58" t="str">
        <x:v>&lt;=</x:v>
      </x:c>
      <x:c r="K27" s="58" t="str">
        <x:v>50</x:v>
      </x:c>
      <x:c r="L27" s="58" t="str">
        <x:v>ft</x:v>
      </x:c>
      <x:c r="M27" s="58" t="str">
        <x:v>In a fully sprinklered Group R-1 building, dead-end corridors are generally limited to 50 feet.</x:v>
      </x:c>
      <x:c r="N27" s="58" t="str">
        <x:v>More than one exit required; R-1; NFPA 13.</x:v>
      </x:c>
      <x:c r="O27" s="58" t="str">
        <x:v>Measure dead-end corridor length to decision point.</x:v>
      </x:c>
      <x:c r="P27" s="58" t="str">
        <x:v>Hard</x:v>
      </x:c>
      <x:c r="Q27" s="58" t="str">
        <x:v>Starter verified</x:v>
      </x:c>
      <x:c r="R27" s="58" t="str">
        <x:v>https://codes.iccsafe.org/content/IBC2021V2.0/chapter-10-means-of-egress</x:v>
      </x:c>
      <x:c r="S27" s="58" t="str">
        <x:v>2026-09-29</x:v>
      </x:c>
      <x:c r="T27" s="58"/>
      <x:c r="U27" s="58" t="str">
        <x:v>active</x:v>
      </x:c>
      <x:c r="V27" s="58" t="str">
        <x:v>corridor</x:v>
      </x:c>
      <x:c r="W27" s="58" t="str">
        <x:v>dead_end_length_ft</x:v>
      </x:c>
      <x:c r="X27" s="58" t="str"/>
      <x:c r="Y27" s="58" t="str">
        <x:v>compare_max</x:v>
      </x:c>
      <x:c r="Z27" s="58" t="str">
        <x:v>50</x:v>
      </x:c>
      <x:c r="AA27" s="58" t="str"/>
      <x:c r="AB27" s="58" t="str"/>
      <x:c r="AC27" s="58" t="str">
        <x:v>none</x:v>
      </x:c>
      <x:c r="AD27" s="58" t="str">
        <x:v>dead_end_compliance</x:v>
      </x:c>
      <x:c r="AE27" s="58" t="str">
        <x:v>critical</x:v>
      </x:c>
      <x:c r="AF27" s="59" t="b">
        <x:v>1</x:v>
      </x:c>
      <x:c r="AG27" s="59" t="b">
        <x:v>1</x:v>
      </x:c>
      <x:c r="AH27" s="58" t="str">
        <x:v>Sprinklered R-1 dead-end limit.</x:v>
      </x:c>
    </x:row>
    <x:row r="28">
      <x:c r="A28" s="58" t="str">
        <x:v>IBC-R1-028</x:v>
      </x:c>
      <x:c r="B28" s="58" t="str">
        <x:v>Doors</x:v>
      </x:c>
      <x:c r="C28" s="58" t="str">
        <x:v>Minimum clear width of required egress door opening</x:v>
      </x:c>
      <x:c r="D28" s="58" t="str">
        <x:v>numeric_threshold</x:v>
      </x:c>
      <x:c r="E28" s="58" t="str">
        <x:v>2021 IBC</x:v>
      </x:c>
      <x:c r="F28" s="58" t="str">
        <x:v>1010.1.1</x:v>
      </x:c>
      <x:c r="G28" s="58" t="str">
        <x:v>All</x:v>
      </x:c>
      <x:c r="H28" s="58"/>
      <x:c r="I28" s="58"/>
      <x:c r="J28" s="58" t="str">
        <x:v>&gt;=</x:v>
      </x:c>
      <x:c r="K28" s="58" t="str">
        <x:v>32</x:v>
      </x:c>
      <x:c r="L28" s="58" t="str">
        <x:v>in clear</x:v>
      </x:c>
      <x:c r="M28" s="58" t="str">
        <x:v>Required egress door openings generally provide at least 32 inches of clear width.</x:v>
      </x:c>
      <x:c r="N28" s="58" t="str">
        <x:v>Required means-of-egress door; exceptions may apply.</x:v>
      </x:c>
      <x:c r="O28" s="58" t="str">
        <x:v>Compare clear opening to 32 in.</x:v>
      </x:c>
      <x:c r="P28" s="58" t="str">
        <x:v>Hard</x:v>
      </x:c>
      <x:c r="Q28" s="58" t="str">
        <x:v>Starter - verify before final</x:v>
      </x:c>
      <x:c r="R28" s="58" t="str">
        <x:v>https://codes.iccsafe.org/content/IBC2021V2.0/chapter-10-means-of-egress</x:v>
      </x:c>
      <x:c r="S28" s="58" t="str">
        <x:v>2026-09-29</x:v>
      </x:c>
      <x:c r="T28" s="58"/>
      <x:c r="U28" s="58" t="str">
        <x:v>needs_review</x:v>
      </x:c>
      <x:c r="V28" s="58" t="str">
        <x:v>door</x:v>
      </x:c>
      <x:c r="W28" s="58" t="str">
        <x:v>door_clear_width_in</x:v>
      </x:c>
      <x:c r="X28" s="58" t="str"/>
      <x:c r="Y28" s="58" t="str">
        <x:v>compare_min</x:v>
      </x:c>
      <x:c r="Z28" s="58" t="str">
        <x:v>32</x:v>
      </x:c>
      <x:c r="AA28" s="58" t="str"/>
      <x:c r="AB28" s="58" t="str"/>
      <x:c r="AC28" s="58" t="str">
        <x:v>none</x:v>
      </x:c>
      <x:c r="AD28" s="58" t="str">
        <x:v>door_width_compliance</x:v>
      </x:c>
      <x:c r="AE28" s="58" t="str">
        <x:v>critical</x:v>
      </x:c>
      <x:c r="AF28" s="59" t="b">
        <x:v>1</x:v>
      </x:c>
      <x:c r="AG28" s="59" t="b">
        <x:v>1</x:v>
      </x:c>
      <x:c r="AH28" s="58" t="str">
        <x:v>Verify exceptions before production use.</x:v>
      </x:c>
    </x:row>
    <x:row r="29">
      <x:c r="A29" s="58" t="str">
        <x:v>IBC-R1-029</x:v>
      </x:c>
      <x:c r="B29" s="58" t="str">
        <x:v>Egress</x:v>
      </x:c>
      <x:c r="C29" s="58" t="str">
        <x:v>Minimum means-of-egress ceiling height</x:v>
      </x:c>
      <x:c r="D29" s="58" t="str">
        <x:v>numeric_threshold</x:v>
      </x:c>
      <x:c r="E29" s="58" t="str">
        <x:v>2021 IBC</x:v>
      </x:c>
      <x:c r="F29" s="58" t="str">
        <x:v>1003.2</x:v>
      </x:c>
      <x:c r="G29" s="58" t="str">
        <x:v>All</x:v>
      </x:c>
      <x:c r="H29" s="58"/>
      <x:c r="I29" s="58"/>
      <x:c r="J29" s="58" t="str">
        <x:v>&gt;=</x:v>
      </x:c>
      <x:c r="K29" s="58" t="str">
        <x:v>7.5</x:v>
      </x:c>
      <x:c r="L29" s="58" t="str">
        <x:v>ft</x:v>
      </x:c>
      <x:c r="M29" s="58" t="str">
        <x:v>Means of egress generally has a minimum ceiling height of 7 feet 6 inches.</x:v>
      </x:c>
      <x:c r="N29" s="58" t="str">
        <x:v>Means-of-egress path; listed exceptions may apply.</x:v>
      </x:c>
      <x:c r="O29" s="58" t="str">
        <x:v>Compare clear ceiling height along egress path to 7.5 ft.</x:v>
      </x:c>
      <x:c r="P29" s="58" t="str">
        <x:v>Hard</x:v>
      </x:c>
      <x:c r="Q29" s="58" t="str">
        <x:v>Starter - verify before final</x:v>
      </x:c>
      <x:c r="R29" s="58" t="str">
        <x:v>https://codes.iccsafe.org/content/IBC2021V2.0/chapter-10-means-of-egress</x:v>
      </x:c>
      <x:c r="S29" s="58" t="str">
        <x:v>2026-09-29</x:v>
      </x:c>
      <x:c r="T29" s="58"/>
      <x:c r="U29" s="58" t="str">
        <x:v>needs_review</x:v>
      </x:c>
      <x:c r="V29" s="58" t="str">
        <x:v>egress_path</x:v>
      </x:c>
      <x:c r="W29" s="58" t="str">
        <x:v>egress_ceiling_height_ft</x:v>
      </x:c>
      <x:c r="X29" s="58" t="str"/>
      <x:c r="Y29" s="58" t="str">
        <x:v>compare_min</x:v>
      </x:c>
      <x:c r="Z29" s="58" t="str">
        <x:v>7.5</x:v>
      </x:c>
      <x:c r="AA29" s="58" t="str"/>
      <x:c r="AB29" s="58" t="str"/>
      <x:c r="AC29" s="58" t="str">
        <x:v>none</x:v>
      </x:c>
      <x:c r="AD29" s="58" t="str">
        <x:v>egress_height_compliance</x:v>
      </x:c>
      <x:c r="AE29" s="58" t="str">
        <x:v>critical</x:v>
      </x:c>
      <x:c r="AF29" s="59" t="b">
        <x:v>1</x:v>
      </x:c>
      <x:c r="AG29" s="59" t="b">
        <x:v>1</x:v>
      </x:c>
      <x:c r="AH29" s="58" t="str">
        <x:v>Verify listed exceptions before production use.</x:v>
      </x:c>
    </x:row>
    <x:row r="30">
      <x:c r="A30" s="58" t="str">
        <x:v>IBC-OL-001</x:v>
      </x:c>
      <x:c r="B30" s="58" t="str">
        <x:v>Occupant Load</x:v>
      </x:c>
      <x:c r="C30" s="58" t="str">
        <x:v>Area-based occupant load calculation</x:v>
      </x:c>
      <x:c r="D30" s="58" t="str">
        <x:v>formula</x:v>
      </x:c>
      <x:c r="E30" s="58" t="str">
        <x:v>2021 IBC</x:v>
      </x:c>
      <x:c r="F30" s="58" t="str">
        <x:v>1004.5</x:v>
      </x:c>
      <x:c r="G30" s="58" t="str">
        <x:v>All</x:v>
      </x:c>
      <x:c r="H30" s="58" t="str"/>
      <x:c r="I30" s="58" t="str"/>
      <x:c r="J30" s="58" t="str">
        <x:v>formula</x:v>
      </x:c>
      <x:c r="K30" s="58" t="str">
        <x:v>Area ÷ factor</x:v>
      </x:c>
      <x:c r="L30" s="58" t="str">
        <x:v>occupants</x:v>
      </x:c>
      <x:c r="M30" s="58" t="str">
        <x:v>For areas without fixed seating, occupant load is determined by dividing the applicable floor area by the occupant-load factor for the function of the space.</x:v>
      </x:c>
      <x:c r="N30" s="58" t="str">
        <x:v>Area without fixed seating with a listed Table 1004.5 function.</x:v>
      </x:c>
      <x:c r="O30" s="58" t="str">
        <x:v>Divide applicable floor area by factor and round up to the next whole occupant.</x:v>
      </x:c>
      <x:c r="P30" s="58" t="str">
        <x:v>Hard</x:v>
      </x:c>
      <x:c r="Q30" s="58" t="str">
        <x:v>Verified against 2021 IBC Section 1004/Table 1004.5</x:v>
      </x:c>
      <x:c r="R30" s="58" t="str">
        <x:v>https://codes.iccsafe.org/content/IBC2021V2.0/chapter-10-means-of-egress</x:v>
      </x:c>
      <x:c r="S30" s="58" t="str">
        <x:v>2026-09-29</x:v>
      </x:c>
      <x:c r="T30" s="58" t="str">
        <x:v>Space-function mapping must be established first.</x:v>
      </x:c>
      <x:c r="U30" s="58" t="str">
        <x:v>active</x:v>
      </x:c>
      <x:c r="V30" s="58" t="str">
        <x:v>space</x:v>
      </x:c>
      <x:c r="W30" s="58" t="str">
        <x:v>applicable_area_sf</x:v>
      </x:c>
      <x:c r="X30" s="58" t="str">
        <x:v>occupant_load_factor_sf_per_person</x:v>
      </x:c>
      <x:c r="Y30" s="58" t="str">
        <x:v>divide_round_up</x:v>
      </x:c>
      <x:c r="Z30" s="58" t="str"/>
      <x:c r="AA30" s="58" t="str">
        <x:v>Table 1004.5</x:v>
      </x:c>
      <x:c r="AB30" s="58" t="str">
        <x:v>gross_or_net_by_factor</x:v>
      </x:c>
      <x:c r="AC30" s="58" t="str">
        <x:v>ceiling</x:v>
      </x:c>
      <x:c r="AD30" s="58" t="str">
        <x:v>calculated_occupant_load</x:v>
      </x:c>
      <x:c r="AE30" s="58" t="str">
        <x:v>critical</x:v>
      </x:c>
      <x:c r="AF30" s="59" t="b">
        <x:v>1</x:v>
      </x:c>
      <x:c r="AG30" s="59" t="b">
        <x:v>1</x:v>
      </x:c>
      <x:c r="AH30" s="58" t="str">
        <x:v>Core formula consumed by factor rows.</x:v>
      </x:c>
    </x:row>
    <x:row r="31">
      <x:c r="A31" s="58" t="str">
        <x:v>IBC-OL-002</x:v>
      </x:c>
      <x:c r="B31" s="58" t="str">
        <x:v>Occupant Load</x:v>
      </x:c>
      <x:c r="C31" s="58" t="str">
        <x:v>Assembly without fixed seats - concentrated</x:v>
      </x:c>
      <x:c r="D31" s="58" t="str">
        <x:v>occupant_load_factor</x:v>
      </x:c>
      <x:c r="E31" s="58" t="str">
        <x:v>2021 IBC</x:v>
      </x:c>
      <x:c r="F31" s="58" t="str">
        <x:v>Table 1004.5</x:v>
      </x:c>
      <x:c r="G31" s="58" t="str">
        <x:v>Assembly</x:v>
      </x:c>
      <x:c r="H31" s="58" t="str"/>
      <x:c r="I31" s="58" t="str"/>
      <x:c r="J31" s="58" t="str">
        <x:v>divide_round_up</x:v>
      </x:c>
      <x:c r="K31" s="58" t="str">
        <x:v>7</x:v>
      </x:c>
      <x:c r="L31" s="58" t="str">
        <x:v>sf/person net</x:v>
      </x:c>
      <x:c r="M31" s="58" t="str">
        <x:v>Concentrated assembly without fixed seats uses 7 net square feet per occupant.</x:v>
      </x:c>
      <x:c r="N31" s="58" t="str">
        <x:v>Chairs-only or similarly concentrated assembly arrangement.</x:v>
      </x:c>
      <x:c r="O31" s="58" t="str">
        <x:v>Divide net area by 7 and round up.</x:v>
      </x:c>
      <x:c r="P31" s="58" t="str">
        <x:v>Hard</x:v>
      </x:c>
      <x:c r="Q31" s="58" t="str">
        <x:v>Verified against 2021 IBC Table 1004.5</x:v>
      </x:c>
      <x:c r="R31" s="58" t="str">
        <x:v>https://codes.iccsafe.org/content/IBC2021V2.0/chapter-10-means-of-egress</x:v>
      </x:c>
      <x:c r="S31" s="58" t="str">
        <x:v>2026-09-29</x:v>
      </x:c>
      <x:c r="T31" s="58" t="str">
        <x:v>Use only when actual layout/function is concentrated assembly.</x:v>
      </x:c>
      <x:c r="U31" s="58" t="str">
        <x:v>active</x:v>
      </x:c>
      <x:c r="V31" s="58" t="str">
        <x:v>space</x:v>
      </x:c>
      <x:c r="W31" s="58" t="str">
        <x:v>net_area_sf</x:v>
      </x:c>
      <x:c r="X31" s="58" t="str"/>
      <x:c r="Y31" s="58" t="str">
        <x:v>divide_round_up</x:v>
      </x:c>
      <x:c r="Z31" s="58" t="str">
        <x:v>7</x:v>
      </x:c>
      <x:c r="AA31" s="58" t="str">
        <x:v>assembly_concentrated</x:v>
      </x:c>
      <x:c r="AB31" s="58" t="str">
        <x:v>net</x:v>
      </x:c>
      <x:c r="AC31" s="58" t="str">
        <x:v>ceiling</x:v>
      </x:c>
      <x:c r="AD31" s="58" t="str">
        <x:v>calculated_occupant_load</x:v>
      </x:c>
      <x:c r="AE31" s="58" t="str">
        <x:v>critical</x:v>
      </x:c>
      <x:c r="AF31" s="59" t="b">
        <x:v>1</x:v>
      </x:c>
      <x:c r="AG31" s="59" t="b">
        <x:v>1</x:v>
      </x:c>
      <x:c r="AH31" s="58" t="str">
        <x:v>Candidate for ballroom/meeting chairs-only layouts.</x:v>
      </x:c>
    </x:row>
    <x:row r="32">
      <x:c r="A32" s="58" t="str">
        <x:v>IBC-OL-003</x:v>
      </x:c>
      <x:c r="B32" s="58" t="str">
        <x:v>Occupant Load</x:v>
      </x:c>
      <x:c r="C32" s="58" t="str">
        <x:v>Assembly without fixed seats - standing</x:v>
      </x:c>
      <x:c r="D32" s="58" t="str">
        <x:v>occupant_load_factor</x:v>
      </x:c>
      <x:c r="E32" s="58" t="str">
        <x:v>2021 IBC</x:v>
      </x:c>
      <x:c r="F32" s="58" t="str">
        <x:v>Table 1004.5</x:v>
      </x:c>
      <x:c r="G32" s="58" t="str">
        <x:v>Assembly</x:v>
      </x:c>
      <x:c r="H32" s="58" t="str"/>
      <x:c r="I32" s="58" t="str"/>
      <x:c r="J32" s="58" t="str">
        <x:v>divide_round_up</x:v>
      </x:c>
      <x:c r="K32" s="58" t="str">
        <x:v>5</x:v>
      </x:c>
      <x:c r="L32" s="58" t="str">
        <x:v>sf/person net</x:v>
      </x:c>
      <x:c r="M32" s="58" t="str">
        <x:v>Standing assembly space uses 5 net square feet per occupant.</x:v>
      </x:c>
      <x:c r="N32" s="58" t="str">
        <x:v>Standing-room or queuing-style assembly use.</x:v>
      </x:c>
      <x:c r="O32" s="58" t="str">
        <x:v>Divide net area by 5 and round up.</x:v>
      </x:c>
      <x:c r="P32" s="58" t="str">
        <x:v>Hard</x:v>
      </x:c>
      <x:c r="Q32" s="58" t="str">
        <x:v>Verified against 2021 IBC Table 1004.5</x:v>
      </x:c>
      <x:c r="R32" s="58" t="str">
        <x:v>https://codes.iccsafe.org/content/IBC2021V2.0/chapter-10-means-of-egress</x:v>
      </x:c>
      <x:c r="S32" s="58" t="str">
        <x:v>2026-09-29</x:v>
      </x:c>
      <x:c r="T32" s="58" t="str">
        <x:v>Apply only to actual standing-use layout.</x:v>
      </x:c>
      <x:c r="U32" s="58" t="str">
        <x:v>active</x:v>
      </x:c>
      <x:c r="V32" s="58" t="str">
        <x:v>space</x:v>
      </x:c>
      <x:c r="W32" s="58" t="str">
        <x:v>net_area_sf</x:v>
      </x:c>
      <x:c r="X32" s="58" t="str"/>
      <x:c r="Y32" s="58" t="str">
        <x:v>divide_round_up</x:v>
      </x:c>
      <x:c r="Z32" s="58" t="str">
        <x:v>5</x:v>
      </x:c>
      <x:c r="AA32" s="58" t="str">
        <x:v>assembly_standing</x:v>
      </x:c>
      <x:c r="AB32" s="58" t="str">
        <x:v>net</x:v>
      </x:c>
      <x:c r="AC32" s="58" t="str">
        <x:v>ceiling</x:v>
      </x:c>
      <x:c r="AD32" s="58" t="str">
        <x:v>calculated_occupant_load</x:v>
      </x:c>
      <x:c r="AE32" s="58" t="str">
        <x:v>critical</x:v>
      </x:c>
      <x:c r="AF32" s="59" t="b">
        <x:v>1</x:v>
      </x:c>
      <x:c r="AG32" s="59" t="b">
        <x:v>1</x:v>
      </x:c>
      <x:c r="AH32" s="58" t="str">
        <x:v>Useful for standing-event conditions.</x:v>
      </x:c>
    </x:row>
    <x:row r="33">
      <x:c r="A33" s="58" t="str">
        <x:v>IBC-OL-004</x:v>
      </x:c>
      <x:c r="B33" s="58" t="str">
        <x:v>Occupant Load</x:v>
      </x:c>
      <x:c r="C33" s="58" t="str">
        <x:v>Assembly without fixed seats - unconcentrated</x:v>
      </x:c>
      <x:c r="D33" s="58" t="str">
        <x:v>occupant_load_factor</x:v>
      </x:c>
      <x:c r="E33" s="58" t="str">
        <x:v>2021 IBC</x:v>
      </x:c>
      <x:c r="F33" s="58" t="str">
        <x:v>Table 1004.5</x:v>
      </x:c>
      <x:c r="G33" s="58" t="str">
        <x:v>Assembly</x:v>
      </x:c>
      <x:c r="H33" s="58" t="str"/>
      <x:c r="I33" s="58" t="str"/>
      <x:c r="J33" s="58" t="str">
        <x:v>divide_round_up</x:v>
      </x:c>
      <x:c r="K33" s="58" t="str">
        <x:v>15</x:v>
      </x:c>
      <x:c r="L33" s="58" t="str">
        <x:v>sf/person net</x:v>
      </x:c>
      <x:c r="M33" s="58" t="str">
        <x:v>Unconcentrated assembly with tables and chairs uses 15 net square feet per occupant.</x:v>
      </x:c>
      <x:c r="N33" s="58" t="str">
        <x:v>Dining, meeting, lounge, or similar table/chair arrangement.</x:v>
      </x:c>
      <x:c r="O33" s="58" t="str">
        <x:v>Divide net area by 15 and round up.</x:v>
      </x:c>
      <x:c r="P33" s="58" t="str">
        <x:v>Hard</x:v>
      </x:c>
      <x:c r="Q33" s="58" t="str">
        <x:v>Verified against 2021 IBC Table 1004.5</x:v>
      </x:c>
      <x:c r="R33" s="58" t="str">
        <x:v>https://codes.iccsafe.org/content/IBC2021V2.0/chapter-10-means-of-egress</x:v>
      </x:c>
      <x:c r="S33" s="58" t="str">
        <x:v>2026-09-29</x:v>
      </x:c>
      <x:c r="T33" s="58" t="str">
        <x:v>Lobby/lounge mapping remains provisional until actual use/furniture is known.</x:v>
      </x:c>
      <x:c r="U33" s="58" t="str">
        <x:v>active</x:v>
      </x:c>
      <x:c r="V33" s="58" t="str">
        <x:v>space</x:v>
      </x:c>
      <x:c r="W33" s="58" t="str">
        <x:v>net_area_sf</x:v>
      </x:c>
      <x:c r="X33" s="58" t="str"/>
      <x:c r="Y33" s="58" t="str">
        <x:v>divide_round_up</x:v>
      </x:c>
      <x:c r="Z33" s="58" t="str">
        <x:v>15</x:v>
      </x:c>
      <x:c r="AA33" s="58" t="str">
        <x:v>assembly_unconcentrated</x:v>
      </x:c>
      <x:c r="AB33" s="58" t="str">
        <x:v>net</x:v>
      </x:c>
      <x:c r="AC33" s="58" t="str">
        <x:v>ceiling</x:v>
      </x:c>
      <x:c r="AD33" s="58" t="str">
        <x:v>calculated_occupant_load</x:v>
      </x:c>
      <x:c r="AE33" s="58" t="str">
        <x:v>critical</x:v>
      </x:c>
      <x:c r="AF33" s="59" t="b">
        <x:v>1</x:v>
      </x:c>
      <x:c r="AG33" s="59" t="b">
        <x:v>1</x:v>
      </x:c>
      <x:c r="AH33" s="58" t="str">
        <x:v>High-value hotel public-space factor.</x:v>
      </x:c>
    </x:row>
    <x:row r="34">
      <x:c r="A34" s="58" t="str">
        <x:v>IBC-OL-005</x:v>
      </x:c>
      <x:c r="B34" s="58" t="str">
        <x:v>Occupant Load</x:v>
      </x:c>
      <x:c r="C34" s="58" t="str">
        <x:v>Business areas</x:v>
      </x:c>
      <x:c r="D34" s="58" t="str">
        <x:v>occupant_load_factor</x:v>
      </x:c>
      <x:c r="E34" s="58" t="str">
        <x:v>2021 IBC</x:v>
      </x:c>
      <x:c r="F34" s="58" t="str">
        <x:v>Table 1004.5</x:v>
      </x:c>
      <x:c r="G34" s="58" t="str">
        <x:v>Business</x:v>
      </x:c>
      <x:c r="H34" s="58" t="str"/>
      <x:c r="I34" s="58" t="str"/>
      <x:c r="J34" s="58" t="str">
        <x:v>divide_round_up</x:v>
      </x:c>
      <x:c r="K34" s="58" t="str">
        <x:v>150</x:v>
      </x:c>
      <x:c r="L34" s="58" t="str">
        <x:v>sf/person gross</x:v>
      </x:c>
      <x:c r="M34" s="58" t="str">
        <x:v>Business areas use 150 gross square feet per occupant.</x:v>
      </x:c>
      <x:c r="N34" s="58" t="str">
        <x:v>Office, administrative, or similar business area.</x:v>
      </x:c>
      <x:c r="O34" s="58" t="str">
        <x:v>Divide gross area by 150 and round up.</x:v>
      </x:c>
      <x:c r="P34" s="58" t="str">
        <x:v>Hard</x:v>
      </x:c>
      <x:c r="Q34" s="58" t="str">
        <x:v>Verified against 2021 IBC Table 1004.5</x:v>
      </x:c>
      <x:c r="R34" s="58" t="str">
        <x:v>https://codes.iccsafe.org/content/IBC2021V2.0/chapter-10-means-of-egress</x:v>
      </x:c>
      <x:c r="S34" s="58" t="str">
        <x:v>2026-09-29</x:v>
      </x:c>
      <x:c r="T34" s="58" t="str"/>
      <x:c r="U34" s="58" t="str">
        <x:v>active</x:v>
      </x:c>
      <x:c r="V34" s="58" t="str">
        <x:v>space</x:v>
      </x:c>
      <x:c r="W34" s="58" t="str">
        <x:v>gross_area_sf</x:v>
      </x:c>
      <x:c r="X34" s="58" t="str"/>
      <x:c r="Y34" s="58" t="str">
        <x:v>divide_round_up</x:v>
      </x:c>
      <x:c r="Z34" s="58" t="str">
        <x:v>150</x:v>
      </x:c>
      <x:c r="AA34" s="58" t="str">
        <x:v>business</x:v>
      </x:c>
      <x:c r="AB34" s="58" t="str">
        <x:v>gross</x:v>
      </x:c>
      <x:c r="AC34" s="58" t="str">
        <x:v>ceiling</x:v>
      </x:c>
      <x:c r="AD34" s="58" t="str">
        <x:v>calculated_occupant_load</x:v>
      </x:c>
      <x:c r="AE34" s="58" t="str">
        <x:v>critical</x:v>
      </x:c>
      <x:c r="AF34" s="59" t="b">
        <x:v>1</x:v>
      </x:c>
      <x:c r="AG34" s="59" t="b">
        <x:v>1</x:v>
      </x:c>
      <x:c r="AH34" s="58" t="str">
        <x:v>Useful for admin/management BOH.</x:v>
      </x:c>
    </x:row>
    <x:row r="35">
      <x:c r="A35" s="58" t="str">
        <x:v>IBC-OL-006</x:v>
      </x:c>
      <x:c r="B35" s="58" t="str">
        <x:v>Occupant Load</x:v>
      </x:c>
      <x:c r="C35" s="58" t="str">
        <x:v>Exercise rooms</x:v>
      </x:c>
      <x:c r="D35" s="58" t="str">
        <x:v>occupant_load_factor</x:v>
      </x:c>
      <x:c r="E35" s="58" t="str">
        <x:v>2021 IBC</x:v>
      </x:c>
      <x:c r="F35" s="58" t="str">
        <x:v>Table 1004.5</x:v>
      </x:c>
      <x:c r="G35" s="58" t="str">
        <x:v>Assembly/Accessory</x:v>
      </x:c>
      <x:c r="H35" s="58" t="str"/>
      <x:c r="I35" s="58" t="str"/>
      <x:c r="J35" s="58" t="str">
        <x:v>divide_round_up</x:v>
      </x:c>
      <x:c r="K35" s="58" t="str">
        <x:v>50</x:v>
      </x:c>
      <x:c r="L35" s="58" t="str">
        <x:v>sf/person gross</x:v>
      </x:c>
      <x:c r="M35" s="58" t="str">
        <x:v>Exercise rooms use 50 gross square feet per occupant.</x:v>
      </x:c>
      <x:c r="N35" s="58" t="str">
        <x:v>Hotel gym or fitness room.</x:v>
      </x:c>
      <x:c r="O35" s="58" t="str">
        <x:v>Divide gross area by 50 and round up.</x:v>
      </x:c>
      <x:c r="P35" s="58" t="str">
        <x:v>Hard</x:v>
      </x:c>
      <x:c r="Q35" s="58" t="str">
        <x:v>Verified against 2021 IBC Table 1004.5</x:v>
      </x:c>
      <x:c r="R35" s="58" t="str">
        <x:v>https://codes.iccsafe.org/content/IBC2021V2.0/chapter-10-means-of-egress</x:v>
      </x:c>
      <x:c r="S35" s="58" t="str">
        <x:v>2026-09-29</x:v>
      </x:c>
      <x:c r="T35" s="58" t="str"/>
      <x:c r="U35" s="58" t="str">
        <x:v>active</x:v>
      </x:c>
      <x:c r="V35" s="58" t="str">
        <x:v>space</x:v>
      </x:c>
      <x:c r="W35" s="58" t="str">
        <x:v>gross_area_sf</x:v>
      </x:c>
      <x:c r="X35" s="58" t="str"/>
      <x:c r="Y35" s="58" t="str">
        <x:v>divide_round_up</x:v>
      </x:c>
      <x:c r="Z35" s="58" t="str">
        <x:v>50</x:v>
      </x:c>
      <x:c r="AA35" s="58" t="str">
        <x:v>exercise_room</x:v>
      </x:c>
      <x:c r="AB35" s="58" t="str">
        <x:v>gross</x:v>
      </x:c>
      <x:c r="AC35" s="58" t="str">
        <x:v>ceiling</x:v>
      </x:c>
      <x:c r="AD35" s="58" t="str">
        <x:v>calculated_occupant_load</x:v>
      </x:c>
      <x:c r="AE35" s="58" t="str">
        <x:v>critical</x:v>
      </x:c>
      <x:c r="AF35" s="59" t="b">
        <x:v>1</x:v>
      </x:c>
      <x:c r="AG35" s="59" t="b">
        <x:v>1</x:v>
      </x:c>
      <x:c r="AH35" s="58" t="str">
        <x:v>Direct hotel mapping.</x:v>
      </x:c>
    </x:row>
    <x:row r="36">
      <x:c r="A36" s="58" t="str">
        <x:v>IBC-OL-007</x:v>
      </x:c>
      <x:c r="B36" s="58" t="str">
        <x:v>Occupant Load</x:v>
      </x:c>
      <x:c r="C36" s="58" t="str">
        <x:v>Kitchens, commercial</x:v>
      </x:c>
      <x:c r="D36" s="58" t="str">
        <x:v>occupant_load_factor</x:v>
      </x:c>
      <x:c r="E36" s="58" t="str">
        <x:v>2021 IBC</x:v>
      </x:c>
      <x:c r="F36" s="58" t="str">
        <x:v>Table 1004.5</x:v>
      </x:c>
      <x:c r="G36" s="58" t="str">
        <x:v>Accessory</x:v>
      </x:c>
      <x:c r="H36" s="58" t="str"/>
      <x:c r="I36" s="58" t="str"/>
      <x:c r="J36" s="58" t="str">
        <x:v>divide_round_up</x:v>
      </x:c>
      <x:c r="K36" s="58" t="str">
        <x:v>200</x:v>
      </x:c>
      <x:c r="L36" s="58" t="str">
        <x:v>sf/person gross</x:v>
      </x:c>
      <x:c r="M36" s="58" t="str">
        <x:v>Commercial kitchens use 200 gross square feet per occupant.</x:v>
      </x:c>
      <x:c r="N36" s="58" t="str">
        <x:v>Commercial hotel kitchen or food-prep area.</x:v>
      </x:c>
      <x:c r="O36" s="58" t="str">
        <x:v>Divide gross area by 200 and round up.</x:v>
      </x:c>
      <x:c r="P36" s="58" t="str">
        <x:v>Hard</x:v>
      </x:c>
      <x:c r="Q36" s="58" t="str">
        <x:v>Verified against 2021 IBC Table 1004.5</x:v>
      </x:c>
      <x:c r="R36" s="58" t="str">
        <x:v>https://codes.iccsafe.org/content/IBC2021V2.0/chapter-10-means-of-egress</x:v>
      </x:c>
      <x:c r="S36" s="58" t="str">
        <x:v>2026-09-29</x:v>
      </x:c>
      <x:c r="T36" s="58" t="str">
        <x:v>Pantry-only portions may need separate judgment.</x:v>
      </x:c>
      <x:c r="U36" s="58" t="str">
        <x:v>active</x:v>
      </x:c>
      <x:c r="V36" s="58" t="str">
        <x:v>space</x:v>
      </x:c>
      <x:c r="W36" s="58" t="str">
        <x:v>gross_area_sf</x:v>
      </x:c>
      <x:c r="X36" s="58" t="str"/>
      <x:c r="Y36" s="58" t="str">
        <x:v>divide_round_up</x:v>
      </x:c>
      <x:c r="Z36" s="58" t="str">
        <x:v>200</x:v>
      </x:c>
      <x:c r="AA36" s="58" t="str">
        <x:v>commercial_kitchen</x:v>
      </x:c>
      <x:c r="AB36" s="58" t="str">
        <x:v>gross</x:v>
      </x:c>
      <x:c r="AC36" s="58" t="str">
        <x:v>ceiling</x:v>
      </x:c>
      <x:c r="AD36" s="58" t="str">
        <x:v>calculated_occupant_load</x:v>
      </x:c>
      <x:c r="AE36" s="58" t="str">
        <x:v>critical</x:v>
      </x:c>
      <x:c r="AF36" s="59" t="b">
        <x:v>1</x:v>
      </x:c>
      <x:c r="AG36" s="59" t="b">
        <x:v>1</x:v>
      </x:c>
      <x:c r="AH36" s="58" t="str">
        <x:v>Direct hotel kitchen mapping.</x:v>
      </x:c>
    </x:row>
    <x:row r="37">
      <x:c r="A37" s="58" t="str">
        <x:v>IBC-OL-008</x:v>
      </x:c>
      <x:c r="B37" s="58" t="str">
        <x:v>Occupant Load</x:v>
      </x:c>
      <x:c r="C37" s="58" t="str">
        <x:v>Accessory storage / mechanical equipment room</x:v>
      </x:c>
      <x:c r="D37" s="58" t="str">
        <x:v>occupant_load_factor</x:v>
      </x:c>
      <x:c r="E37" s="58" t="str">
        <x:v>2021 IBC</x:v>
      </x:c>
      <x:c r="F37" s="58" t="str">
        <x:v>Table 1004.5</x:v>
      </x:c>
      <x:c r="G37" s="58" t="str">
        <x:v>Accessory</x:v>
      </x:c>
      <x:c r="H37" s="58" t="str"/>
      <x:c r="I37" s="58" t="str"/>
      <x:c r="J37" s="58" t="str">
        <x:v>divide_round_up</x:v>
      </x:c>
      <x:c r="K37" s="58" t="str">
        <x:v>300</x:v>
      </x:c>
      <x:c r="L37" s="58" t="str">
        <x:v>sf/person gross</x:v>
      </x:c>
      <x:c r="M37" s="58" t="str">
        <x:v>Accessory storage areas and mechanical equipment rooms use 300 gross square feet per occupant.</x:v>
      </x:c>
      <x:c r="N37" s="58" t="str">
        <x:v>MEP service, storage, supplies, janitor, and similar accessory areas as appropriate.</x:v>
      </x:c>
      <x:c r="O37" s="58" t="str">
        <x:v>Divide gross area by 300 and round up.</x:v>
      </x:c>
      <x:c r="P37" s="58" t="str">
        <x:v>Hard</x:v>
      </x:c>
      <x:c r="Q37" s="58" t="str">
        <x:v>Verified against 2021 IBC Table 1004.5</x:v>
      </x:c>
      <x:c r="R37" s="58" t="str">
        <x:v>https://codes.iccsafe.org/content/IBC2021V2.0/chapter-10-means-of-egress</x:v>
      </x:c>
      <x:c r="S37" s="58" t="str">
        <x:v>2026-09-29</x:v>
      </x:c>
      <x:c r="T37" s="58" t="str">
        <x:v>Specific room use should be confirmed before mapping.</x:v>
      </x:c>
      <x:c r="U37" s="58" t="str">
        <x:v>active</x:v>
      </x:c>
      <x:c r="V37" s="58" t="str">
        <x:v>space</x:v>
      </x:c>
      <x:c r="W37" s="58" t="str">
        <x:v>gross_area_sf</x:v>
      </x:c>
      <x:c r="X37" s="58" t="str"/>
      <x:c r="Y37" s="58" t="str">
        <x:v>divide_round_up</x:v>
      </x:c>
      <x:c r="Z37" s="58" t="str">
        <x:v>300</x:v>
      </x:c>
      <x:c r="AA37" s="58" t="str">
        <x:v>accessory_storage_mechanical</x:v>
      </x:c>
      <x:c r="AB37" s="58" t="str">
        <x:v>gross</x:v>
      </x:c>
      <x:c r="AC37" s="58" t="str">
        <x:v>ceiling</x:v>
      </x:c>
      <x:c r="AD37" s="58" t="str">
        <x:v>calculated_occupant_load</x:v>
      </x:c>
      <x:c r="AE37" s="58" t="str">
        <x:v>critical</x:v>
      </x:c>
      <x:c r="AF37" s="59" t="b">
        <x:v>1</x:v>
      </x:c>
      <x:c r="AG37" s="59" t="b">
        <x:v>1</x:v>
      </x:c>
      <x:c r="AH37" s="58" t="str">
        <x:v>High-value support-space factor.</x:v>
      </x:c>
    </x:row>
    <x:row r="38">
      <x:c r="A38" s="58" t="str">
        <x:v>IBC-OL-009</x:v>
      </x:c>
      <x:c r="B38" s="58" t="str">
        <x:v>Occupant Load</x:v>
      </x:c>
      <x:c r="C38" s="58" t="str">
        <x:v>Mercantile</x:v>
      </x:c>
      <x:c r="D38" s="58" t="str">
        <x:v>occupant_load_factor</x:v>
      </x:c>
      <x:c r="E38" s="58" t="str">
        <x:v>2021 IBC</x:v>
      </x:c>
      <x:c r="F38" s="58" t="str">
        <x:v>Table 1004.5</x:v>
      </x:c>
      <x:c r="G38" s="58" t="str">
        <x:v>Mercantile</x:v>
      </x:c>
      <x:c r="H38" s="58" t="str"/>
      <x:c r="I38" s="58" t="str"/>
      <x:c r="J38" s="58" t="str">
        <x:v>divide_round_up</x:v>
      </x:c>
      <x:c r="K38" s="58" t="str">
        <x:v>60</x:v>
      </x:c>
      <x:c r="L38" s="58" t="str">
        <x:v>sf/person gross</x:v>
      </x:c>
      <x:c r="M38" s="58" t="str">
        <x:v>Mercantile areas use 60 gross square feet per occupant.</x:v>
      </x:c>
      <x:c r="N38" s="58" t="str">
        <x:v>Retail/sales area.</x:v>
      </x:c>
      <x:c r="O38" s="58" t="str">
        <x:v>Divide gross area by 60 and round up.</x:v>
      </x:c>
      <x:c r="P38" s="58" t="str">
        <x:v>Hard</x:v>
      </x:c>
      <x:c r="Q38" s="58" t="str">
        <x:v>Verified against 2021 IBC Table 1004.5</x:v>
      </x:c>
      <x:c r="R38" s="58" t="str">
        <x:v>https://codes.iccsafe.org/content/IBC2021V2.0/chapter-10-means-of-egress</x:v>
      </x:c>
      <x:c r="S38" s="58" t="str">
        <x:v>2026-09-29</x:v>
      </x:c>
      <x:c r="T38" s="58" t="str"/>
      <x:c r="U38" s="58" t="str">
        <x:v>active</x:v>
      </x:c>
      <x:c r="V38" s="58" t="str">
        <x:v>space</x:v>
      </x:c>
      <x:c r="W38" s="58" t="str">
        <x:v>gross_area_sf</x:v>
      </x:c>
      <x:c r="X38" s="58" t="str"/>
      <x:c r="Y38" s="58" t="str">
        <x:v>divide_round_up</x:v>
      </x:c>
      <x:c r="Z38" s="58" t="str">
        <x:v>60</x:v>
      </x:c>
      <x:c r="AA38" s="58" t="str">
        <x:v>mercantile</x:v>
      </x:c>
      <x:c r="AB38" s="58" t="str">
        <x:v>gross</x:v>
      </x:c>
      <x:c r="AC38" s="58" t="str">
        <x:v>ceiling</x:v>
      </x:c>
      <x:c r="AD38" s="58" t="str">
        <x:v>calculated_occupant_load</x:v>
      </x:c>
      <x:c r="AE38" s="58" t="str">
        <x:v>critical</x:v>
      </x:c>
      <x:c r="AF38" s="59" t="b">
        <x:v>1</x:v>
      </x:c>
      <x:c r="AG38" s="59" t="b">
        <x:v>1</x:v>
      </x:c>
      <x:c r="AH38" s="58" t="str">
        <x:v>Direct white-box retail mapping when occupied as retail.</x:v>
      </x:c>
    </x:row>
    <x:row r="39">
      <x:c r="A39" s="58" t="str">
        <x:v>IBC-OL-010</x:v>
      </x:c>
      <x:c r="B39" s="58" t="str">
        <x:v>Occupant Load</x:v>
      </x:c>
      <x:c r="C39" s="58" t="str">
        <x:v>Mercantile storage / stock / shipping</x:v>
      </x:c>
      <x:c r="D39" s="58" t="str">
        <x:v>occupant_load_factor</x:v>
      </x:c>
      <x:c r="E39" s="58" t="str">
        <x:v>2021 IBC</x:v>
      </x:c>
      <x:c r="F39" s="58" t="str">
        <x:v>Table 1004.5</x:v>
      </x:c>
      <x:c r="G39" s="58" t="str">
        <x:v>Mercantile</x:v>
      </x:c>
      <x:c r="H39" s="58" t="str"/>
      <x:c r="I39" s="58" t="str"/>
      <x:c r="J39" s="58" t="str">
        <x:v>divide_round_up</x:v>
      </x:c>
      <x:c r="K39" s="58" t="str">
        <x:v>300</x:v>
      </x:c>
      <x:c r="L39" s="58" t="str">
        <x:v>sf/person gross</x:v>
      </x:c>
      <x:c r="M39" s="58" t="str">
        <x:v>Mercantile storage, stock, and shipping areas use 300 gross square feet per occupant.</x:v>
      </x:c>
      <x:c r="N39" s="58" t="str">
        <x:v>Retail stock/support area.</x:v>
      </x:c>
      <x:c r="O39" s="58" t="str">
        <x:v>Divide gross area by 300 and round up.</x:v>
      </x:c>
      <x:c r="P39" s="58" t="str">
        <x:v>Hard</x:v>
      </x:c>
      <x:c r="Q39" s="58" t="str">
        <x:v>Verified against 2021 IBC Table 1004.5</x:v>
      </x:c>
      <x:c r="R39" s="58" t="str">
        <x:v>https://codes.iccsafe.org/content/IBC2021V2.0/chapter-10-means-of-egress</x:v>
      </x:c>
      <x:c r="S39" s="58" t="str">
        <x:v>2026-09-29</x:v>
      </x:c>
      <x:c r="T39" s="58" t="str"/>
      <x:c r="U39" s="58" t="str">
        <x:v>active</x:v>
      </x:c>
      <x:c r="V39" s="58" t="str">
        <x:v>space</x:v>
      </x:c>
      <x:c r="W39" s="58" t="str">
        <x:v>gross_area_sf</x:v>
      </x:c>
      <x:c r="X39" s="58" t="str"/>
      <x:c r="Y39" s="58" t="str">
        <x:v>divide_round_up</x:v>
      </x:c>
      <x:c r="Z39" s="58" t="str">
        <x:v>300</x:v>
      </x:c>
      <x:c r="AA39" s="58" t="str">
        <x:v>mercantile_storage</x:v>
      </x:c>
      <x:c r="AB39" s="58" t="str">
        <x:v>gross</x:v>
      </x:c>
      <x:c r="AC39" s="58" t="str">
        <x:v>ceiling</x:v>
      </x:c>
      <x:c r="AD39" s="58" t="str">
        <x:v>calculated_occupant_load</x:v>
      </x:c>
      <x:c r="AE39" s="58" t="str">
        <x:v>critical</x:v>
      </x:c>
      <x:c r="AF39" s="59" t="b">
        <x:v>1</x:v>
      </x:c>
      <x:c r="AG39" s="59" t="b">
        <x:v>1</x:v>
      </x:c>
      <x:c r="AH39" s="58" t="str">
        <x:v>Use for retail support, not sales floor.</x:v>
      </x:c>
    </x:row>
    <x:row r="40">
      <x:c r="A40" s="58" t="str">
        <x:v>IBC-OL-011</x:v>
      </x:c>
      <x:c r="B40" s="58" t="str">
        <x:v>Occupant Load</x:v>
      </x:c>
      <x:c r="C40" s="58" t="str">
        <x:v>Parking garages</x:v>
      </x:c>
      <x:c r="D40" s="58" t="str">
        <x:v>occupant_load_factor</x:v>
      </x:c>
      <x:c r="E40" s="58" t="str">
        <x:v>2021 IBC</x:v>
      </x:c>
      <x:c r="F40" s="58" t="str">
        <x:v>Table 1004.5</x:v>
      </x:c>
      <x:c r="G40" s="58" t="str">
        <x:v>Parking</x:v>
      </x:c>
      <x:c r="H40" s="58" t="str"/>
      <x:c r="I40" s="58" t="str"/>
      <x:c r="J40" s="58" t="str">
        <x:v>divide_round_up</x:v>
      </x:c>
      <x:c r="K40" s="58" t="str">
        <x:v>200</x:v>
      </x:c>
      <x:c r="L40" s="58" t="str">
        <x:v>sf/person gross</x:v>
      </x:c>
      <x:c r="M40" s="58" t="str">
        <x:v>Parking garages use 200 gross square feet per occupant.</x:v>
      </x:c>
      <x:c r="N40" s="58" t="str">
        <x:v>Structured parking or garage area.</x:v>
      </x:c>
      <x:c r="O40" s="58" t="str">
        <x:v>Divide gross area by 200 and round up.</x:v>
      </x:c>
      <x:c r="P40" s="58" t="str">
        <x:v>Hard</x:v>
      </x:c>
      <x:c r="Q40" s="58" t="str">
        <x:v>Verified against 2021 IBC Table 1004.5</x:v>
      </x:c>
      <x:c r="R40" s="58" t="str">
        <x:v>https://codes.iccsafe.org/content/IBC2021V2.0/chapter-10-means-of-egress</x:v>
      </x:c>
      <x:c r="S40" s="58" t="str">
        <x:v>2026-09-29</x:v>
      </x:c>
      <x:c r="T40" s="58" t="str"/>
      <x:c r="U40" s="58" t="str">
        <x:v>active</x:v>
      </x:c>
      <x:c r="V40" s="58" t="str">
        <x:v>space</x:v>
      </x:c>
      <x:c r="W40" s="58" t="str">
        <x:v>gross_area_sf</x:v>
      </x:c>
      <x:c r="X40" s="58" t="str"/>
      <x:c r="Y40" s="58" t="str">
        <x:v>divide_round_up</x:v>
      </x:c>
      <x:c r="Z40" s="58" t="str">
        <x:v>200</x:v>
      </x:c>
      <x:c r="AA40" s="58" t="str">
        <x:v>parking_garage</x:v>
      </x:c>
      <x:c r="AB40" s="58" t="str">
        <x:v>gross</x:v>
      </x:c>
      <x:c r="AC40" s="58" t="str">
        <x:v>ceiling</x:v>
      </x:c>
      <x:c r="AD40" s="58" t="str">
        <x:v>calculated_occupant_load</x:v>
      </x:c>
      <x:c r="AE40" s="58" t="str">
        <x:v>critical</x:v>
      </x:c>
      <x:c r="AF40" s="59" t="b">
        <x:v>1</x:v>
      </x:c>
      <x:c r="AG40" s="59" t="b">
        <x:v>1</x:v>
      </x:c>
      <x:c r="AH40" s="58" t="str">
        <x:v>Only if prototype includes structured parking.</x:v>
      </x:c>
    </x:row>
    <x:row r="41">
      <x:c r="A41" s="58" t="str">
        <x:v>IBC-OL-012</x:v>
      </x:c>
      <x:c r="B41" s="58" t="str">
        <x:v>Occupant Load</x:v>
      </x:c>
      <x:c r="C41" s="58" t="str">
        <x:v>Residential</x:v>
      </x:c>
      <x:c r="D41" s="58" t="str">
        <x:v>occupant_load_factor</x:v>
      </x:c>
      <x:c r="E41" s="58" t="str">
        <x:v>2021 IBC</x:v>
      </x:c>
      <x:c r="F41" s="58" t="str">
        <x:v>Table 1004.5</x:v>
      </x:c>
      <x:c r="G41" s="58" t="str">
        <x:v>Residential</x:v>
      </x:c>
      <x:c r="H41" s="58" t="str"/>
      <x:c r="I41" s="58" t="str"/>
      <x:c r="J41" s="58" t="str">
        <x:v>divide_round_up</x:v>
      </x:c>
      <x:c r="K41" s="58" t="str">
        <x:v>200</x:v>
      </x:c>
      <x:c r="L41" s="58" t="str">
        <x:v>sf/person gross</x:v>
      </x:c>
      <x:c r="M41" s="58" t="str">
        <x:v>Residential areas use 200 gross square feet per occupant.</x:v>
      </x:c>
      <x:c r="N41" s="58" t="str">
        <x:v>Hotel guestroom/lodging areas when mapped to the residential Table 1004.5 function.</x:v>
      </x:c>
      <x:c r="O41" s="58" t="str">
        <x:v>Divide gross area by 200 and round up.</x:v>
      </x:c>
      <x:c r="P41" s="58" t="str">
        <x:v>Hard</x:v>
      </x:c>
      <x:c r="Q41" s="58" t="str">
        <x:v>Verified against 2021 IBC Table 1004.5</x:v>
      </x:c>
      <x:c r="R41" s="58" t="str">
        <x:v>https://codes.iccsafe.org/content/IBC2021V2.0/chapter-10-means-of-egress</x:v>
      </x:c>
      <x:c r="S41" s="58" t="str">
        <x:v>2026-09-29</x:v>
      </x:c>
      <x:c r="T41" s="58" t="str">
        <x:v>Project may separately track keys and room types.</x:v>
      </x:c>
      <x:c r="U41" s="58" t="str">
        <x:v>active</x:v>
      </x:c>
      <x:c r="V41" s="58" t="str">
        <x:v>space</x:v>
      </x:c>
      <x:c r="W41" s="58" t="str">
        <x:v>gross_area_sf</x:v>
      </x:c>
      <x:c r="X41" s="58" t="str"/>
      <x:c r="Y41" s="58" t="str">
        <x:v>divide_round_up</x:v>
      </x:c>
      <x:c r="Z41" s="58" t="str">
        <x:v>200</x:v>
      </x:c>
      <x:c r="AA41" s="58" t="str">
        <x:v>residential</x:v>
      </x:c>
      <x:c r="AB41" s="58" t="str">
        <x:v>gross</x:v>
      </x:c>
      <x:c r="AC41" s="58" t="str">
        <x:v>ceiling</x:v>
      </x:c>
      <x:c r="AD41" s="58" t="str">
        <x:v>calculated_occupant_load</x:v>
      </x:c>
      <x:c r="AE41" s="58" t="str">
        <x:v>critical</x:v>
      </x:c>
      <x:c r="AF41" s="59" t="b">
        <x:v>1</x:v>
      </x:c>
      <x:c r="AG41" s="59" t="b">
        <x:v>1</x:v>
      </x:c>
      <x:c r="AH41" s="58" t="str">
        <x:v>Primary area-based lodging factor.</x:v>
      </x:c>
    </x:row>
    <x:row r="42">
      <x:c r="A42" s="58" t="str">
        <x:v>IBC-OL-013</x:v>
      </x:c>
      <x:c r="B42" s="58" t="str">
        <x:v>Occupant Load</x:v>
      </x:c>
      <x:c r="C42" s="58" t="str">
        <x:v>Pool / rink area</x:v>
      </x:c>
      <x:c r="D42" s="58" t="str">
        <x:v>occupant_load_factor</x:v>
      </x:c>
      <x:c r="E42" s="58" t="str">
        <x:v>2021 IBC</x:v>
      </x:c>
      <x:c r="F42" s="58" t="str">
        <x:v>Table 1004.5</x:v>
      </x:c>
      <x:c r="G42" s="58" t="str">
        <x:v>Assembly/Recreation</x:v>
      </x:c>
      <x:c r="H42" s="58" t="str"/>
      <x:c r="I42" s="58" t="str"/>
      <x:c r="J42" s="58" t="str">
        <x:v>divide_round_up</x:v>
      </x:c>
      <x:c r="K42" s="58" t="str">
        <x:v>50</x:v>
      </x:c>
      <x:c r="L42" s="58" t="str">
        <x:v>sf/person gross</x:v>
      </x:c>
      <x:c r="M42" s="58" t="str">
        <x:v>Rink and pool areas use 50 gross square feet per occupant.</x:v>
      </x:c>
      <x:c r="N42" s="58" t="str">
        <x:v>Hotel pool area if included.</x:v>
      </x:c>
      <x:c r="O42" s="58" t="str">
        <x:v>Divide gross area by 50 and round up.</x:v>
      </x:c>
      <x:c r="P42" s="58" t="str">
        <x:v>Hard</x:v>
      </x:c>
      <x:c r="Q42" s="58" t="str">
        <x:v>Verified against 2021 IBC Table 1004.5</x:v>
      </x:c>
      <x:c r="R42" s="58" t="str">
        <x:v>https://codes.iccsafe.org/content/IBC2021V2.0/chapter-10-means-of-egress</x:v>
      </x:c>
      <x:c r="S42" s="58" t="str">
        <x:v>2026-09-29</x:v>
      </x:c>
      <x:c r="T42" s="58" t="str"/>
      <x:c r="U42" s="58" t="str">
        <x:v>active</x:v>
      </x:c>
      <x:c r="V42" s="58" t="str">
        <x:v>space</x:v>
      </x:c>
      <x:c r="W42" s="58" t="str">
        <x:v>gross_area_sf</x:v>
      </x:c>
      <x:c r="X42" s="58" t="str"/>
      <x:c r="Y42" s="58" t="str">
        <x:v>divide_round_up</x:v>
      </x:c>
      <x:c r="Z42" s="58" t="str">
        <x:v>50</x:v>
      </x:c>
      <x:c r="AA42" s="58" t="str">
        <x:v>pool_rink</x:v>
      </x:c>
      <x:c r="AB42" s="58" t="str">
        <x:v>gross</x:v>
      </x:c>
      <x:c r="AC42" s="58" t="str">
        <x:v>ceiling</x:v>
      </x:c>
      <x:c r="AD42" s="58" t="str">
        <x:v>calculated_occupant_load</x:v>
      </x:c>
      <x:c r="AE42" s="58" t="str">
        <x:v>critical</x:v>
      </x:c>
      <x:c r="AF42" s="59" t="b">
        <x:v>1</x:v>
      </x:c>
      <x:c r="AG42" s="59" t="b">
        <x:v>1</x:v>
      </x:c>
      <x:c r="AH42" s="58" t="str">
        <x:v>Optional hotel amenity factor.</x:v>
      </x:c>
    </x:row>
    <x:row r="43">
      <x:c r="A43" s="58" t="str">
        <x:v>IBC-OL-014</x:v>
      </x:c>
      <x:c r="B43" s="58" t="str">
        <x:v>Occupant Load</x:v>
      </x:c>
      <x:c r="C43" s="58" t="str">
        <x:v>Pool / rink decks</x:v>
      </x:c>
      <x:c r="D43" s="58" t="str">
        <x:v>occupant_load_factor</x:v>
      </x:c>
      <x:c r="E43" s="58" t="str">
        <x:v>2021 IBC</x:v>
      </x:c>
      <x:c r="F43" s="58" t="str">
        <x:v>Table 1004.5</x:v>
      </x:c>
      <x:c r="G43" s="58" t="str">
        <x:v>Assembly/Recreation</x:v>
      </x:c>
      <x:c r="H43" s="58" t="str"/>
      <x:c r="I43" s="58" t="str"/>
      <x:c r="J43" s="58" t="str">
        <x:v>divide_round_up</x:v>
      </x:c>
      <x:c r="K43" s="58" t="str">
        <x:v>15</x:v>
      </x:c>
      <x:c r="L43" s="58" t="str">
        <x:v>sf/person gross</x:v>
      </x:c>
      <x:c r="M43" s="58" t="str">
        <x:v>Pool and rink decks use 15 gross square feet per occupant.</x:v>
      </x:c>
      <x:c r="N43" s="58" t="str">
        <x:v>Hotel pool deck if included.</x:v>
      </x:c>
      <x:c r="O43" s="58" t="str">
        <x:v>Divide gross area by 15 and round up.</x:v>
      </x:c>
      <x:c r="P43" s="58" t="str">
        <x:v>Hard</x:v>
      </x:c>
      <x:c r="Q43" s="58" t="str">
        <x:v>Verified against 2021 IBC Table 1004.5</x:v>
      </x:c>
      <x:c r="R43" s="58" t="str">
        <x:v>https://codes.iccsafe.org/content/IBC2021V2.0/chapter-10-means-of-egress</x:v>
      </x:c>
      <x:c r="S43" s="58" t="str">
        <x:v>2026-09-29</x:v>
      </x:c>
      <x:c r="T43" s="58" t="str"/>
      <x:c r="U43" s="58" t="str">
        <x:v>active</x:v>
      </x:c>
      <x:c r="V43" s="58" t="str">
        <x:v>space</x:v>
      </x:c>
      <x:c r="W43" s="58" t="str">
        <x:v>gross_area_sf</x:v>
      </x:c>
      <x:c r="X43" s="58" t="str"/>
      <x:c r="Y43" s="58" t="str">
        <x:v>divide_round_up</x:v>
      </x:c>
      <x:c r="Z43" s="58" t="str">
        <x:v>15</x:v>
      </x:c>
      <x:c r="AA43" s="58" t="str">
        <x:v>pool_deck</x:v>
      </x:c>
      <x:c r="AB43" s="58" t="str">
        <x:v>gross</x:v>
      </x:c>
      <x:c r="AC43" s="58" t="str">
        <x:v>ceiling</x:v>
      </x:c>
      <x:c r="AD43" s="58" t="str">
        <x:v>calculated_occupant_load</x:v>
      </x:c>
      <x:c r="AE43" s="58" t="str">
        <x:v>critical</x:v>
      </x:c>
      <x:c r="AF43" s="59" t="b">
        <x:v>1</x:v>
      </x:c>
      <x:c r="AG43" s="59" t="b">
        <x:v>1</x:v>
      </x:c>
      <x:c r="AH43" s="58" t="str">
        <x:v>Optional hotel amenity factor.</x:v>
      </x:c>
    </x:row>
  </x:sheetData>
  <x:dataValidations count="2">
    <x:dataValidation type="list" sqref="U2:U43">
      <x:formula1>"active,needs_review,inactive,superseded"</x:formula1>
    </x:dataValidation>
    <x:dataValidation type="list" sqref="AE2:AE43">
      <x:formula1>"critical,warning,informational"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10" hidden="0" customWidth="1"/>
    <x:col min="4" max="4" width="12" hidden="0" customWidth="1"/>
    <x:col min="5" max="5" width="28" hidden="0" customWidth="1"/>
    <x:col min="6" max="6" width="42" hidden="0" customWidth="1"/>
    <x:col min="7" max="7" width="18" hidden="0" customWidth="1"/>
    <x:col min="8" max="8" width="50" hidden="0" customWidth="1"/>
    <x:col min="9" max="9" width="16" hidden="0" customWidth="1"/>
    <x:col min="10" max="10" width="48" hidden="0" customWidth="1"/>
  </x:cols>
  <x:sheetData>
    <x:row r="1">
      <x:c r="A1" s="62" t="str">
        <x:v>factor_id</x:v>
      </x:c>
      <x:c r="B1" s="62" t="str">
        <x:v>IBC function of space</x:v>
      </x:c>
      <x:c r="C1" s="62" t="str">
        <x:v>factor</x:v>
      </x:c>
      <x:c r="D1" s="62" t="str">
        <x:v>area_basis</x:v>
      </x:c>
      <x:c r="E1" s="62" t="str">
        <x:v>machine_key</x:v>
      </x:c>
      <x:c r="F1" s="62" t="str">
        <x:v>hotel use examples</x:v>
      </x:c>
      <x:c r="G1" s="62" t="str">
        <x:v>mapping confidence</x:v>
      </x:c>
      <x:c r="H1" s="62" t="str">
        <x:v>review note</x:v>
      </x:c>
      <x:c r="I1" s="62" t="str">
        <x:v>source_section</x:v>
      </x:c>
      <x:c r="J1" s="62" t="str">
        <x:v>source_url</x:v>
      </x:c>
    </x:row>
    <x:row r="2">
      <x:c r="A2" s="30" t="str">
        <x:v>OL-F01</x:v>
      </x:c>
      <x:c r="B2" s="30" t="str">
        <x:v>Assembly without fixed seats - concentrated</x:v>
      </x:c>
      <x:c r="C2" s="30" t="n">
        <x:v>7</x:v>
      </x:c>
      <x:c r="D2" s="30" t="str">
        <x:v>net</x:v>
      </x:c>
      <x:c r="E2" s="30" t="str">
        <x:v>assembly_concentrated</x:v>
      </x:c>
      <x:c r="F2" s="30" t="str">
        <x:v>Ballroom/meeting with chairs only</x:v>
      </x:c>
      <x:c r="G2" s="30" t="str">
        <x:v>Medium</x:v>
      </x:c>
      <x:c r="H2" s="30" t="str">
        <x:v>Confirm actual furniture/use before applying.</x:v>
      </x:c>
      <x:c r="I2" s="30" t="str">
        <x:v>Table 1004.5</x:v>
      </x:c>
      <x:c r="J2" s="30" t="str">
        <x:v>https://codes.iccsafe.org/content/IBC2021V2.0/chapter-10-means-of-egress</x:v>
      </x:c>
    </x:row>
    <x:row r="3">
      <x:c r="A3" s="30" t="str">
        <x:v>OL-F02</x:v>
      </x:c>
      <x:c r="B3" s="30" t="str">
        <x:v>Assembly without fixed seats - standing</x:v>
      </x:c>
      <x:c r="C3" s="30" t="n">
        <x:v>5</x:v>
      </x:c>
      <x:c r="D3" s="30" t="str">
        <x:v>net</x:v>
      </x:c>
      <x:c r="E3" s="30" t="str">
        <x:v>assembly_standing</x:v>
      </x:c>
      <x:c r="F3" s="30" t="str">
        <x:v>Standing event / queuing / standing bar condition</x:v>
      </x:c>
      <x:c r="G3" s="30" t="str">
        <x:v>Medium</x:v>
      </x:c>
      <x:c r="H3" s="30" t="str">
        <x:v>Apply only to actual standing-use layout.</x:v>
      </x:c>
      <x:c r="I3" s="30" t="str">
        <x:v>Table 1004.5</x:v>
      </x:c>
      <x:c r="J3" s="30" t="str">
        <x:v>https://codes.iccsafe.org/content/IBC2021V2.0/chapter-10-means-of-egress</x:v>
      </x:c>
    </x:row>
    <x:row r="4">
      <x:c r="A4" s="30" t="str">
        <x:v>OL-F03</x:v>
      </x:c>
      <x:c r="B4" s="30" t="str">
        <x:v>Assembly without fixed seats - unconcentrated</x:v>
      </x:c>
      <x:c r="C4" s="30" t="n">
        <x:v>15</x:v>
      </x:c>
      <x:c r="D4" s="30" t="str">
        <x:v>net</x:v>
      </x:c>
      <x:c r="E4" s="30" t="str">
        <x:v>assembly_unconcentrated</x:v>
      </x:c>
      <x:c r="F4" s="30" t="str">
        <x:v>Meeting, dining, lounge, lobby with tables/chairs</x:v>
      </x:c>
      <x:c r="G4" s="30" t="str">
        <x:v>Medium</x:v>
      </x:c>
      <x:c r="H4" s="30" t="str">
        <x:v>Lobby/lounge mapping is provisional and should be reviewed.</x:v>
      </x:c>
      <x:c r="I4" s="30" t="str">
        <x:v>Table 1004.5</x:v>
      </x:c>
      <x:c r="J4" s="30" t="str">
        <x:v>https://codes.iccsafe.org/content/IBC2021V2.0/chapter-10-means-of-egress</x:v>
      </x:c>
    </x:row>
    <x:row r="5">
      <x:c r="A5" s="30" t="str">
        <x:v>OL-F04</x:v>
      </x:c>
      <x:c r="B5" s="30" t="str">
        <x:v>Business areas</x:v>
      </x:c>
      <x:c r="C5" s="30" t="n">
        <x:v>150</x:v>
      </x:c>
      <x:c r="D5" s="30" t="str">
        <x:v>gross</x:v>
      </x:c>
      <x:c r="E5" s="30" t="str">
        <x:v>business</x:v>
      </x:c>
      <x:c r="F5" s="30" t="str">
        <x:v>Hotel management office / admin BOH</x:v>
      </x:c>
      <x:c r="G5" s="30" t="str">
        <x:v>High</x:v>
      </x:c>
      <x:c r="H5" s="30" t="str">
        <x:v>Use when the function is office/business.</x:v>
      </x:c>
      <x:c r="I5" s="30" t="str">
        <x:v>Table 1004.5</x:v>
      </x:c>
      <x:c r="J5" s="30" t="str">
        <x:v>https://codes.iccsafe.org/content/IBC2021V2.0/chapter-10-means-of-egress</x:v>
      </x:c>
    </x:row>
    <x:row r="6">
      <x:c r="A6" s="30" t="str">
        <x:v>OL-F05</x:v>
      </x:c>
      <x:c r="B6" s="30" t="str">
        <x:v>Exercise rooms</x:v>
      </x:c>
      <x:c r="C6" s="30" t="n">
        <x:v>50</x:v>
      </x:c>
      <x:c r="D6" s="30" t="str">
        <x:v>gross</x:v>
      </x:c>
      <x:c r="E6" s="30" t="str">
        <x:v>exercise_room</x:v>
      </x:c>
      <x:c r="F6" s="30" t="str">
        <x:v>Gym / fitness</x:v>
      </x:c>
      <x:c r="G6" s="30" t="str">
        <x:v>High</x:v>
      </x:c>
      <x:c r="H6" s="30" t="str">
        <x:v>Direct hotel mapping.</x:v>
      </x:c>
      <x:c r="I6" s="30" t="str">
        <x:v>Table 1004.5</x:v>
      </x:c>
      <x:c r="J6" s="30" t="str">
        <x:v>https://codes.iccsafe.org/content/IBC2021V2.0/chapter-10-means-of-egress</x:v>
      </x:c>
    </x:row>
    <x:row r="7">
      <x:c r="A7" s="30" t="str">
        <x:v>OL-F06</x:v>
      </x:c>
      <x:c r="B7" s="30" t="str">
        <x:v>Kitchens, commercial</x:v>
      </x:c>
      <x:c r="C7" s="30" t="n">
        <x:v>200</x:v>
      </x:c>
      <x:c r="D7" s="30" t="str">
        <x:v>gross</x:v>
      </x:c>
      <x:c r="E7" s="30" t="str">
        <x:v>commercial_kitchen</x:v>
      </x:c>
      <x:c r="F7" s="30" t="str">
        <x:v>Hotel commercial kitchen / pantry</x:v>
      </x:c>
      <x:c r="G7" s="30" t="str">
        <x:v>High</x:v>
      </x:c>
      <x:c r="H7" s="30" t="str">
        <x:v>Pantry-only functions may need review depending on use.</x:v>
      </x:c>
      <x:c r="I7" s="30" t="str">
        <x:v>Table 1004.5</x:v>
      </x:c>
      <x:c r="J7" s="30" t="str">
        <x:v>https://codes.iccsafe.org/content/IBC2021V2.0/chapter-10-means-of-egress</x:v>
      </x:c>
    </x:row>
    <x:row r="8">
      <x:c r="A8" s="30" t="str">
        <x:v>OL-F07</x:v>
      </x:c>
      <x:c r="B8" s="30" t="str">
        <x:v>Accessory storage / mechanical equipment room</x:v>
      </x:c>
      <x:c r="C8" s="30" t="n">
        <x:v>300</x:v>
      </x:c>
      <x:c r="D8" s="30" t="str">
        <x:v>gross</x:v>
      </x:c>
      <x:c r="E8" s="30" t="str">
        <x:v>accessory_storage_mechanical</x:v>
      </x:c>
      <x:c r="F8" s="30" t="str">
        <x:v>MEP service, supplies, janitor, storage</x:v>
      </x:c>
      <x:c r="G8" s="30" t="str">
        <x:v>Medium</x:v>
      </x:c>
      <x:c r="H8" s="30" t="str">
        <x:v>Map only when the actual function is accessory/mechanical/storage.</x:v>
      </x:c>
      <x:c r="I8" s="30" t="str">
        <x:v>Table 1004.5</x:v>
      </x:c>
      <x:c r="J8" s="30" t="str">
        <x:v>https://codes.iccsafe.org/content/IBC2021V2.0/chapter-10-means-of-egress</x:v>
      </x:c>
    </x:row>
    <x:row r="9">
      <x:c r="A9" s="30" t="str">
        <x:v>OL-F08</x:v>
      </x:c>
      <x:c r="B9" s="30" t="str">
        <x:v>Mercantile</x:v>
      </x:c>
      <x:c r="C9" s="30" t="n">
        <x:v>60</x:v>
      </x:c>
      <x:c r="D9" s="30" t="str">
        <x:v>gross</x:v>
      </x:c>
      <x:c r="E9" s="30" t="str">
        <x:v>mercantile</x:v>
      </x:c>
      <x:c r="F9" s="30" t="str">
        <x:v>White-box retail / shop</x:v>
      </x:c>
      <x:c r="G9" s="30" t="str">
        <x:v>High</x:v>
      </x:c>
      <x:c r="H9" s="30" t="str">
        <x:v>Use only when occupied as retail.</x:v>
      </x:c>
      <x:c r="I9" s="30" t="str">
        <x:v>Table 1004.5</x:v>
      </x:c>
      <x:c r="J9" s="30" t="str">
        <x:v>https://codes.iccsafe.org/content/IBC2021V2.0/chapter-10-means-of-egress</x:v>
      </x:c>
    </x:row>
    <x:row r="10">
      <x:c r="A10" s="30" t="str">
        <x:v>OL-F09</x:v>
      </x:c>
      <x:c r="B10" s="30" t="str">
        <x:v>Mercantile storage / stock / shipping</x:v>
      </x:c>
      <x:c r="C10" s="30" t="n">
        <x:v>300</x:v>
      </x:c>
      <x:c r="D10" s="30" t="str">
        <x:v>gross</x:v>
      </x:c>
      <x:c r="E10" s="30" t="str">
        <x:v>mercantile_storage</x:v>
      </x:c>
      <x:c r="F10" s="30" t="str">
        <x:v>Retail stock/support</x:v>
      </x:c>
      <x:c r="G10" s="30" t="str">
        <x:v>High</x:v>
      </x:c>
      <x:c r="H10" s="30" t="str">
        <x:v>Use for retail support area, not sales floor.</x:v>
      </x:c>
      <x:c r="I10" s="30" t="str">
        <x:v>Table 1004.5</x:v>
      </x:c>
      <x:c r="J10" s="30" t="str">
        <x:v>https://codes.iccsafe.org/content/IBC2021V2.0/chapter-10-means-of-egress</x:v>
      </x:c>
    </x:row>
    <x:row r="11">
      <x:c r="A11" s="30" t="str">
        <x:v>OL-F10</x:v>
      </x:c>
      <x:c r="B11" s="30" t="str">
        <x:v>Parking garages</x:v>
      </x:c>
      <x:c r="C11" s="30" t="n">
        <x:v>200</x:v>
      </x:c>
      <x:c r="D11" s="30" t="str">
        <x:v>gross</x:v>
      </x:c>
      <x:c r="E11" s="30" t="str">
        <x:v>parking_garage</x:v>
      </x:c>
      <x:c r="F11" s="30" t="str">
        <x:v>Structured parking garage</x:v>
      </x:c>
      <x:c r="G11" s="30" t="str">
        <x:v>High</x:v>
      </x:c>
      <x:c r="H11" s="30" t="str">
        <x:v>Only if included in prototype.</x:v>
      </x:c>
      <x:c r="I11" s="30" t="str">
        <x:v>Table 1004.5</x:v>
      </x:c>
      <x:c r="J11" s="30" t="str">
        <x:v>https://codes.iccsafe.org/content/IBC2021V2.0/chapter-10-means-of-egress</x:v>
      </x:c>
    </x:row>
    <x:row r="12">
      <x:c r="A12" s="30" t="str">
        <x:v>OL-F11</x:v>
      </x:c>
      <x:c r="B12" s="30" t="str">
        <x:v>Residential</x:v>
      </x:c>
      <x:c r="C12" s="30" t="n">
        <x:v>200</x:v>
      </x:c>
      <x:c r="D12" s="30" t="str">
        <x:v>gross</x:v>
      </x:c>
      <x:c r="E12" s="30" t="str">
        <x:v>residential</x:v>
      </x:c>
      <x:c r="F12" s="30" t="str">
        <x:v>Guestroom / lodging areas</x:v>
      </x:c>
      <x:c r="G12" s="30" t="str">
        <x:v>High</x:v>
      </x:c>
      <x:c r="H12" s="30" t="str">
        <x:v>Primary area-based factor for lodging areas.</x:v>
      </x:c>
      <x:c r="I12" s="30" t="str">
        <x:v>Table 1004.5</x:v>
      </x:c>
      <x:c r="J12" s="30" t="str">
        <x:v>https://codes.iccsafe.org/content/IBC2021V2.0/chapter-10-means-of-egress</x:v>
      </x:c>
    </x:row>
    <x:row r="13">
      <x:c r="A13" s="30" t="str">
        <x:v>OL-F12</x:v>
      </x:c>
      <x:c r="B13" s="30" t="str">
        <x:v>Pool / rink</x:v>
      </x:c>
      <x:c r="C13" s="30" t="n">
        <x:v>50</x:v>
      </x:c>
      <x:c r="D13" s="30" t="str">
        <x:v>gross</x:v>
      </x:c>
      <x:c r="E13" s="30" t="str">
        <x:v>pool_rink</x:v>
      </x:c>
      <x:c r="F13" s="30" t="str">
        <x:v>Hotel pool area</x:v>
      </x:c>
      <x:c r="G13" s="30" t="str">
        <x:v>High</x:v>
      </x:c>
      <x:c r="H13" s="30" t="str">
        <x:v>Optional hotel amenity.</x:v>
      </x:c>
      <x:c r="I13" s="30" t="str">
        <x:v>Table 1004.5</x:v>
      </x:c>
      <x:c r="J13" s="30" t="str">
        <x:v>https://codes.iccsafe.org/content/IBC2021V2.0/chapter-10-means-of-egress</x:v>
      </x:c>
    </x:row>
    <x:row r="14">
      <x:c r="A14" s="30" t="str">
        <x:v>OL-F13</x:v>
      </x:c>
      <x:c r="B14" s="30" t="str">
        <x:v>Pool / rink decks</x:v>
      </x:c>
      <x:c r="C14" s="30" t="n">
        <x:v>15</x:v>
      </x:c>
      <x:c r="D14" s="30" t="str">
        <x:v>gross</x:v>
      </x:c>
      <x:c r="E14" s="30" t="str">
        <x:v>pool_deck</x:v>
      </x:c>
      <x:c r="F14" s="30" t="str">
        <x:v>Hotel pool deck</x:v>
      </x:c>
      <x:c r="G14" s="30" t="str">
        <x:v>High</x:v>
      </x:c>
      <x:c r="H14" s="30" t="str">
        <x:v>Optional hotel amenity.</x:v>
      </x:c>
      <x:c r="I14" s="30" t="str">
        <x:v>Table 1004.5</x:v>
      </x:c>
      <x:c r="J14" s="30" t="str">
        <x:v>https://codes.iccsafe.org/content/IBC2021V2.0/chapter-10-means-of-egress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30" hidden="0" customWidth="1"/>
    <x:col min="4" max="4" width="10" hidden="0" customWidth="1"/>
    <x:col min="5" max="5" width="12" hidden="0" customWidth="1"/>
    <x:col min="6" max="6" width="20" hidden="0" customWidth="1"/>
    <x:col min="7" max="7" width="18" hidden="0" customWidth="1"/>
    <x:col min="8" max="8" width="60" hidden="0" customWidth="1"/>
    <x:col min="9" max="9" width="48" hidden="0" customWidth="1"/>
  </x:cols>
  <x:sheetData>
    <x:row r="1">
      <x:c r="A1" s="65" t="str">
        <x:v>reference_space</x:v>
      </x:c>
      <x:c r="B1" s="65" t="str">
        <x:v>reference_area_sf</x:v>
      </x:c>
      <x:c r="C1" s="65" t="str">
        <x:v>suggested_machine_key</x:v>
      </x:c>
      <x:c r="D1" s="65" t="str">
        <x:v>factor</x:v>
      </x:c>
      <x:c r="E1" s="65" t="str">
        <x:v>area_basis</x:v>
      </x:c>
      <x:c r="F1" s="65" t="str">
        <x:v>calculated_occupant_load</x:v>
      </x:c>
      <x:c r="G1" s="65" t="str">
        <x:v>mapping_status</x:v>
      </x:c>
      <x:c r="H1" s="65" t="str">
        <x:v>reason / caution</x:v>
      </x:c>
      <x:c r="I1" s="65" t="str">
        <x:v>source_file</x:v>
      </x:c>
    </x:row>
    <x:row r="2">
      <x:c r="A2" s="30" t="str">
        <x:v>Lobby</x:v>
      </x:c>
      <x:c r="B2" s="30" t="n">
        <x:v>2865</x:v>
      </x:c>
      <x:c r="C2" s="30" t="str">
        <x:v>assembly_unconcentrated</x:v>
      </x:c>
      <x:c r="D2" s="30" t="n">
        <x:v>15</x:v>
      </x:c>
      <x:c r="E2" s="30" t="str">
        <x:v>net</x:v>
      </x:c>
      <x:c r="F2" s="30" t="n">
        <x:f>ROUNDUP(B2/D2,0)</x:f>
        <x:v>191</x:v>
      </x:c>
      <x:c r="G2" s="30" t="str">
        <x:v>AEC REVIEW</x:v>
      </x:c>
      <x:c r="H2" s="30" t="str">
        <x:v>Provisional: lobby furniture/use can change the appropriate assembly factor.</x:v>
      </x:c>
      <x:c r="I2" s="30" t="str">
        <x:v>Project Renegade Living+Lodging_Drawings.pdf</x:v>
      </x:c>
    </x:row>
    <x:row r="3">
      <x:c r="A3" s="30" t="str">
        <x:v>Gym</x:v>
      </x:c>
      <x:c r="B3" s="30" t="n">
        <x:v>968</x:v>
      </x:c>
      <x:c r="C3" s="30" t="str">
        <x:v>exercise_room</x:v>
      </x:c>
      <x:c r="D3" s="30" t="n">
        <x:v>50</x:v>
      </x:c>
      <x:c r="E3" s="30" t="str">
        <x:v>gross</x:v>
      </x:c>
      <x:c r="F3" s="30" t="n">
        <x:f>ROUNDUP(B3/D3,0)</x:f>
        <x:v>20</x:v>
      </x:c>
      <x:c r="G3" s="30" t="str">
        <x:v>READY</x:v>
      </x:c>
      <x:c r="H3" s="30" t="str">
        <x:v>Direct Table 1004.5 exercise-room mapping.</x:v>
      </x:c>
      <x:c r="I3" s="30" t="str">
        <x:v>Project Renegade Living+Lodging_Drawings.pdf</x:v>
      </x:c>
    </x:row>
    <x:row r="4">
      <x:c r="A4" s="30" t="str">
        <x:v>Hotel Kitchen / Pantry</x:v>
      </x:c>
      <x:c r="B4" s="30" t="n">
        <x:v>331</x:v>
      </x:c>
      <x:c r="C4" s="30" t="str">
        <x:v>commercial_kitchen</x:v>
      </x:c>
      <x:c r="D4" s="30" t="n">
        <x:v>200</x:v>
      </x:c>
      <x:c r="E4" s="30" t="str">
        <x:v>gross</x:v>
      </x:c>
      <x:c r="F4" s="30" t="n">
        <x:f>ROUNDUP(B4/D4,0)</x:f>
        <x:v>2</x:v>
      </x:c>
      <x:c r="G4" s="30" t="str">
        <x:v>REVIEW PANTRY USE</x:v>
      </x:c>
      <x:c r="H4" s="30" t="str">
        <x:v>Commercial kitchen factor is clear; pantry-only portions may warrant separate mapping.</x:v>
      </x:c>
      <x:c r="I4" s="30" t="str">
        <x:v>Project Renegade Living+Lodging_Drawings.pdf</x:v>
      </x:c>
    </x:row>
    <x:row r="5">
      <x:c r="A5" s="30" t="str">
        <x:v>MEP Service</x:v>
      </x:c>
      <x:c r="B5" s="30" t="n">
        <x:v>309</x:v>
      </x:c>
      <x:c r="C5" s="30" t="str">
        <x:v>accessory_storage_mechanical</x:v>
      </x:c>
      <x:c r="D5" s="30" t="n">
        <x:v>300</x:v>
      </x:c>
      <x:c r="E5" s="30" t="str">
        <x:v>gross</x:v>
      </x:c>
      <x:c r="F5" s="30" t="n">
        <x:f>ROUNDUP(B5/D5,0)</x:f>
        <x:v>2</x:v>
      </x:c>
      <x:c r="G5" s="30" t="str">
        <x:v>READY</x:v>
      </x:c>
      <x:c r="H5" s="30" t="str">
        <x:v>Direct mechanical/support mapping.</x:v>
      </x:c>
      <x:c r="I5" s="30" t="str">
        <x:v>Project Renegade Living+Lodging_Drawings.pdf</x:v>
      </x:c>
    </x:row>
    <x:row r="6">
      <x:c r="A6" s="30" t="str">
        <x:v>White Box Retail</x:v>
      </x:c>
      <x:c r="B6" s="30" t="n">
        <x:v>3533</x:v>
      </x:c>
      <x:c r="C6" s="30" t="str">
        <x:v>mercantile</x:v>
      </x:c>
      <x:c r="D6" s="30" t="n">
        <x:v>60</x:v>
      </x:c>
      <x:c r="E6" s="30" t="str">
        <x:v>gross</x:v>
      </x:c>
      <x:c r="F6" s="30" t="n">
        <x:f>ROUNDUP(B6/D6,0)</x:f>
        <x:v>59</x:v>
      </x:c>
      <x:c r="G6" s="30" t="str">
        <x:v>READY IF RETAIL</x:v>
      </x:c>
      <x:c r="H6" s="30" t="str">
        <x:v>Applies when the white box is occupied as mercantile/retail.</x:v>
      </x:c>
      <x:c r="I6" s="30" t="str">
        <x:v>Project Renegade Living+Lodging_Drawings.pdf</x:v>
      </x:c>
    </x:row>
    <x:row r="7">
      <x:c r="A7" s="30" t="str">
        <x:v>Housekeeping</x:v>
      </x:c>
      <x:c r="B7" s="30" t="n">
        <x:v>103</x:v>
      </x:c>
      <x:c r="C7" s="30" t="str">
        <x:v>accessory_storage_mechanical</x:v>
      </x:c>
      <x:c r="D7" s="30" t="n">
        <x:v>300</x:v>
      </x:c>
      <x:c r="E7" s="30" t="str">
        <x:v>gross</x:v>
      </x:c>
      <x:c r="F7" s="30" t="n">
        <x:f>ROUNDUP(B7/D7,0)</x:f>
        <x:v>1</x:v>
      </x:c>
      <x:c r="G7" s="30" t="str">
        <x:v>AEC REVIEW</x:v>
      </x:c>
      <x:c r="H7" s="30" t="str">
        <x:v>Support-room function should be confirmed before final mapping.</x:v>
      </x:c>
      <x:c r="I7" s="30" t="str">
        <x:v>Project Renegade Living+Lodging_Drawings.pdf</x:v>
      </x:c>
    </x:row>
    <x:row r="8">
      <x:c r="A8" s="30" t="str">
        <x:v>Supplies</x:v>
      </x:c>
      <x:c r="B8" s="30" t="n">
        <x:v>79</x:v>
      </x:c>
      <x:c r="C8" s="30" t="str">
        <x:v>accessory_storage_mechanical</x:v>
      </x:c>
      <x:c r="D8" s="30" t="n">
        <x:v>300</x:v>
      </x:c>
      <x:c r="E8" s="30" t="str">
        <x:v>gross</x:v>
      </x:c>
      <x:c r="F8" s="30" t="n">
        <x:f>ROUNDUP(B8/D8,0)</x:f>
        <x:v>1</x:v>
      </x:c>
      <x:c r="G8" s="30" t="str">
        <x:v>READY</x:v>
      </x:c>
      <x:c r="H8" s="30" t="str">
        <x:v>Storage/support mapping.</x:v>
      </x:c>
      <x:c r="I8" s="30" t="str">
        <x:v>Project Renegade Living+Lodging_Drawings.pdf</x:v>
      </x:c>
    </x:row>
    <x:row r="9">
      <x:c r="A9" s="30" t="str">
        <x:v>Janitor</x:v>
      </x:c>
      <x:c r="B9" s="30" t="n">
        <x:v>54</x:v>
      </x:c>
      <x:c r="C9" s="30" t="str">
        <x:v>accessory_storage_mechanical</x:v>
      </x:c>
      <x:c r="D9" s="30" t="n">
        <x:v>300</x:v>
      </x:c>
      <x:c r="E9" s="30" t="str">
        <x:v>gross</x:v>
      </x:c>
      <x:c r="F9" s="30" t="n">
        <x:f>ROUNDUP(B9/D9,0)</x:f>
        <x:v>1</x:v>
      </x:c>
      <x:c r="G9" s="30" t="str">
        <x:v>READY</x:v>
      </x:c>
      <x:c r="H9" s="30" t="str">
        <x:v>Accessory support-room mapping.</x:v>
      </x:c>
      <x:c r="I9" s="30" t="str">
        <x:v>Project Renegade Living+Lodging_Drawings.pdf</x:v>
      </x:c>
    </x:row>
    <x:row r="10">
      <x:c r="A10" s="30" t="str">
        <x:v>King guestroom</x:v>
      </x:c>
      <x:c r="B10" s="30" t="n">
        <x:v>344</x:v>
      </x:c>
      <x:c r="C10" s="30" t="str">
        <x:v>residential</x:v>
      </x:c>
      <x:c r="D10" s="30" t="n">
        <x:v>200</x:v>
      </x:c>
      <x:c r="E10" s="30" t="str">
        <x:v>gross</x:v>
      </x:c>
      <x:c r="F10" s="30" t="n">
        <x:f>ROUNDUP(B10/D10,0)</x:f>
        <x:v>2</x:v>
      </x:c>
      <x:c r="G10" s="30" t="str">
        <x:v>READY</x:v>
      </x:c>
      <x:c r="H10" s="30" t="str">
        <x:v>Area-based residential occupant-load factor.</x:v>
      </x:c>
      <x:c r="I10" s="30" t="str">
        <x:v>Project Renegade Living+Lodging_Drawings.pdf</x:v>
      </x:c>
    </x:row>
    <x:row r="11">
      <x:c r="A11" s="30" t="str">
        <x:v>QQ guestroom</x:v>
      </x:c>
      <x:c r="B11" s="30" t="n">
        <x:v>344</x:v>
      </x:c>
      <x:c r="C11" s="30" t="str">
        <x:v>residential</x:v>
      </x:c>
      <x:c r="D11" s="30" t="n">
        <x:v>200</x:v>
      </x:c>
      <x:c r="E11" s="30" t="str">
        <x:v>gross</x:v>
      </x:c>
      <x:c r="F11" s="30" t="n">
        <x:f>ROUNDUP(B11/D11,0)</x:f>
        <x:v>2</x:v>
      </x:c>
      <x:c r="G11" s="30" t="str">
        <x:v>READY</x:v>
      </x:c>
      <x:c r="H11" s="30" t="str">
        <x:v>Area-based residential occupant-load factor.</x:v>
      </x:c>
      <x:c r="I11" s="30" t="str">
        <x:v>Project Renegade Living+Lodging_Drawings.pdf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4" hidden="0" customWidth="1"/>
    <x:col min="4" max="4" width="52" hidden="0" customWidth="1"/>
    <x:col min="5" max="5" width="12" hidden="0" customWidth="1"/>
    <x:col min="6" max="6" width="20" hidden="0" customWidth="1"/>
    <x:col min="7" max="7" width="22" hidden="0" customWidth="1"/>
    <x:col min="8" max="8" width="24" hidden="0" customWidth="1"/>
    <x:col min="9" max="9" width="16" hidden="0" customWidth="1"/>
    <x:col min="10" max="10" width="10" hidden="0" customWidth="1"/>
    <x:col min="11" max="11" width="18" hidden="0" customWidth="1"/>
    <x:col min="12" max="12" width="20" hidden="0" customWidth="1"/>
    <x:col min="13" max="13" width="22" hidden="0" customWidth="1"/>
    <x:col min="14" max="14" width="14" hidden="0" customWidth="1"/>
    <x:col min="15" max="15" width="55" hidden="0" customWidth="1"/>
  </x:cols>
  <x:sheetData>
    <x:row r="1">
      <x:c r="A1" s="68" t="str">
        <x:v>test_id</x:v>
      </x:c>
      <x:c r="B1" s="68" t="str">
        <x:v>test_type</x:v>
      </x:c>
      <x:c r="C1" s="68" t="str">
        <x:v>rule_id</x:v>
      </x:c>
      <x:c r="D1" s="68" t="str">
        <x:v>scenario</x:v>
      </x:c>
      <x:c r="E1" s="68" t="str">
        <x:v>area_sf</x:v>
      </x:c>
      <x:c r="F1" s="68" t="str">
        <x:v>occupant_load_factor</x:v>
      </x:c>
      <x:c r="G1" s="68" t="str">
        <x:v>expected_occupant_load</x:v>
      </x:c>
      <x:c r="H1" s="68" t="str">
        <x:v>calculated_occupant_load</x:v>
      </x:c>
      <x:c r="I1" s="68" t="str">
        <x:v>provided_value</x:v>
      </x:c>
      <x:c r="J1" s="68" t="str">
        <x:v>operator</x:v>
      </x:c>
      <x:c r="K1" s="68" t="str">
        <x:v>required_or_limit</x:v>
      </x:c>
      <x:c r="L1" s="68" t="str">
        <x:v>expected_rule_result</x:v>
      </x:c>
      <x:c r="M1" s="68" t="str">
        <x:v>calculated_rule_result</x:v>
      </x:c>
      <x:c r="N1" s="68" t="str">
        <x:v>test_status</x:v>
      </x:c>
      <x:c r="O1" s="68" t="str">
        <x:v>notes</x:v>
      </x:c>
    </x:row>
    <x:row r="2">
      <x:c r="A2" s="30" t="str">
        <x:v>TC-001</x:v>
      </x:c>
      <x:c r="B2" s="30" t="str">
        <x:v>occupant_load_calc</x:v>
      </x:c>
      <x:c r="C2" s="30" t="str">
        <x:v>IBC-OL-012</x:v>
      </x:c>
      <x:c r="D2" s="30" t="str">
        <x:v>344 SF King guestroom mapped to Residential</x:v>
      </x:c>
      <x:c r="E2" s="30" t="n">
        <x:v>344</x:v>
      </x:c>
      <x:c r="F2" s="30" t="n">
        <x:v>200</x:v>
      </x:c>
      <x:c r="G2" s="30" t="n">
        <x:v>2</x:v>
      </x:c>
      <x:c r="H2" s="30" t="n">
        <x:f>IF(AND(E2&lt;&gt;"",F2&lt;&gt;""),ROUNDUP(E2/F2,0),"")</x:f>
        <x:v>2</x:v>
      </x:c>
      <x:c r="I2" s="30"/>
      <x:c r="J2" s="30" t="str"/>
      <x:c r="K2" s="30" t="str"/>
      <x:c r="L2" s="30" t="str"/>
      <x:c r="M2" s="30" t="str">
        <x:f>IF(I2="","",IF(J2="&lt;=",IF(I2&lt;=K2,"PASS","FAIL"),IF(J2="&gt;=",IF(I2&gt;=K2,"PASS","FAIL"),IF(J2="eq",IF(I2=K2,"PASS","FAIL"),"REVIEW"))))</x:f>
      </x:c>
      <x:c r="N2" s="30" t="str">
        <x:f>IF(B2="occupant_load_calc",IF(H2=G2,"PASS","FAIL"),IF(B2="compliance",IF(M2=L2,"PASS","FAIL"),"REVIEW"))</x:f>
        <x:v>PASS</x:v>
      </x:c>
      <x:c r="O2" s="30" t="str">
        <x:v>Reference-room size from RNGD Living + Lodging precedent.</x:v>
      </x:c>
    </x:row>
    <x:row r="3">
      <x:c r="A3" s="30" t="str">
        <x:v>TC-002</x:v>
      </x:c>
      <x:c r="B3" s="30" t="str">
        <x:v>occupant_load_calc</x:v>
      </x:c>
      <x:c r="C3" s="30" t="str">
        <x:v>IBC-OL-006</x:v>
      </x:c>
      <x:c r="D3" s="30" t="str">
        <x:v>968 SF hotel gym</x:v>
      </x:c>
      <x:c r="E3" s="30" t="n">
        <x:v>968</x:v>
      </x:c>
      <x:c r="F3" s="30" t="n">
        <x:v>50</x:v>
      </x:c>
      <x:c r="G3" s="30" t="n">
        <x:v>20</x:v>
      </x:c>
      <x:c r="H3" s="30" t="n">
        <x:f>IF(AND(E3&lt;&gt;"",F3&lt;&gt;""),ROUNDUP(E3/F3,0),"")</x:f>
        <x:v>20</x:v>
      </x:c>
      <x:c r="I3" s="30"/>
      <x:c r="J3" s="30" t="str"/>
      <x:c r="K3" s="30" t="str"/>
      <x:c r="L3" s="30" t="str"/>
      <x:c r="M3" s="30" t="str">
        <x:f>IF(I3="","",IF(J3="&lt;=",IF(I3&lt;=K3,"PASS","FAIL"),IF(J3="&gt;=",IF(I3&gt;=K3,"PASS","FAIL"),IF(J3="eq",IF(I3=K3,"PASS","FAIL"),"REVIEW"))))</x:f>
      </x:c>
      <x:c r="N3" s="30" t="str">
        <x:f>IF(B3="occupant_load_calc",IF(H3=G3,"PASS","FAIL"),IF(B3="compliance",IF(M3=L3,"PASS","FAIL"),"REVIEW"))</x:f>
        <x:v>PASS</x:v>
      </x:c>
      <x:c r="O3" s="30" t="str">
        <x:v>Direct exercise-room factor.</x:v>
      </x:c>
    </x:row>
    <x:row r="4">
      <x:c r="A4" s="30" t="str">
        <x:v>TC-003</x:v>
      </x:c>
      <x:c r="B4" s="30" t="str">
        <x:v>occupant_load_calc</x:v>
      </x:c>
      <x:c r="C4" s="30" t="str">
        <x:v>IBC-OL-007</x:v>
      </x:c>
      <x:c r="D4" s="30" t="str">
        <x:v>331 SF commercial kitchen/pantry</x:v>
      </x:c>
      <x:c r="E4" s="30" t="n">
        <x:v>331</x:v>
      </x:c>
      <x:c r="F4" s="30" t="n">
        <x:v>200</x:v>
      </x:c>
      <x:c r="G4" s="30" t="n">
        <x:v>2</x:v>
      </x:c>
      <x:c r="H4" s="30" t="n">
        <x:f>IF(AND(E4&lt;&gt;"",F4&lt;&gt;""),ROUNDUP(E4/F4,0),"")</x:f>
        <x:v>2</x:v>
      </x:c>
      <x:c r="I4" s="30"/>
      <x:c r="J4" s="30" t="str"/>
      <x:c r="K4" s="30" t="str"/>
      <x:c r="L4" s="30" t="str"/>
      <x:c r="M4" s="30" t="str">
        <x:f>IF(I4="","",IF(J4="&lt;=",IF(I4&lt;=K4,"PASS","FAIL"),IF(J4="&gt;=",IF(I4&gt;=K4,"PASS","FAIL"),IF(J4="eq",IF(I4=K4,"PASS","FAIL"),"REVIEW"))))</x:f>
      </x:c>
      <x:c r="N4" s="30" t="str">
        <x:f>IF(B4="occupant_load_calc",IF(H4=G4,"PASS","FAIL"),IF(B4="compliance",IF(M4=L4,"PASS","FAIL"),"REVIEW"))</x:f>
        <x:v>PASS</x:v>
      </x:c>
      <x:c r="O4" s="30" t="str">
        <x:v>Assumes commercial-kitchen mapping.</x:v>
      </x:c>
    </x:row>
    <x:row r="5">
      <x:c r="A5" s="30" t="str">
        <x:v>TC-004</x:v>
      </x:c>
      <x:c r="B5" s="30" t="str">
        <x:v>occupant_load_calc</x:v>
      </x:c>
      <x:c r="C5" s="30" t="str">
        <x:v>IBC-OL-009</x:v>
      </x:c>
      <x:c r="D5" s="30" t="str">
        <x:v>3,533 SF white-box retail</x:v>
      </x:c>
      <x:c r="E5" s="30" t="n">
        <x:v>3533</x:v>
      </x:c>
      <x:c r="F5" s="30" t="n">
        <x:v>60</x:v>
      </x:c>
      <x:c r="G5" s="30" t="n">
        <x:v>59</x:v>
      </x:c>
      <x:c r="H5" s="30" t="n">
        <x:f>IF(AND(E5&lt;&gt;"",F5&lt;&gt;""),ROUNDUP(E5/F5,0),"")</x:f>
        <x:v>59</x:v>
      </x:c>
      <x:c r="I5" s="30"/>
      <x:c r="J5" s="30" t="str"/>
      <x:c r="K5" s="30" t="str"/>
      <x:c r="L5" s="30" t="str"/>
      <x:c r="M5" s="30" t="str">
        <x:f>IF(I5="","",IF(J5="&lt;=",IF(I5&lt;=K5,"PASS","FAIL"),IF(J5="&gt;=",IF(I5&gt;=K5,"PASS","FAIL"),IF(J5="eq",IF(I5=K5,"PASS","FAIL"),"REVIEW"))))</x:f>
      </x:c>
      <x:c r="N5" s="30" t="str">
        <x:f>IF(B5="occupant_load_calc",IF(H5=G5,"PASS","FAIL"),IF(B5="compliance",IF(M5=L5,"PASS","FAIL"),"REVIEW"))</x:f>
        <x:v>PASS</x:v>
      </x:c>
      <x:c r="O5" s="30" t="str">
        <x:v>Assumes mercantile/retail use.</x:v>
      </x:c>
    </x:row>
    <x:row r="6">
      <x:c r="A6" s="30" t="str">
        <x:v>TC-005</x:v>
      </x:c>
      <x:c r="B6" s="30" t="str">
        <x:v>occupant_load_calc</x:v>
      </x:c>
      <x:c r="C6" s="30" t="str">
        <x:v>IBC-OL-004</x:v>
      </x:c>
      <x:c r="D6" s="30" t="str">
        <x:v>2,865 SF lobby provisionally mapped to unconcentrated assembly</x:v>
      </x:c>
      <x:c r="E6" s="30" t="n">
        <x:v>2865</x:v>
      </x:c>
      <x:c r="F6" s="30" t="n">
        <x:v>15</x:v>
      </x:c>
      <x:c r="G6" s="30" t="n">
        <x:v>191</x:v>
      </x:c>
      <x:c r="H6" s="30" t="n">
        <x:f>IF(AND(E6&lt;&gt;"",F6&lt;&gt;""),ROUNDUP(E6/F6,0),"")</x:f>
        <x:v>191</x:v>
      </x:c>
      <x:c r="I6" s="30"/>
      <x:c r="J6" s="30" t="str"/>
      <x:c r="K6" s="30" t="str"/>
      <x:c r="L6" s="30" t="str"/>
      <x:c r="M6" s="30" t="str">
        <x:f>IF(I6="","",IF(J6="&lt;=",IF(I6&lt;=K6,"PASS","FAIL"),IF(J6="&gt;=",IF(I6&gt;=K6,"PASS","FAIL"),IF(J6="eq",IF(I6=K6,"PASS","FAIL"),"REVIEW"))))</x:f>
      </x:c>
      <x:c r="N6" s="30" t="str">
        <x:f>IF(B6="occupant_load_calc",IF(H6=G6,"PASS","FAIL"),IF(B6="compliance",IF(M6=L6,"PASS","FAIL"),"REVIEW"))</x:f>
        <x:v>PASS</x:v>
      </x:c>
      <x:c r="O6" s="30" t="str">
        <x:v>Mapping intentionally flagged for AEC review.</x:v>
      </x:c>
    </x:row>
    <x:row r="7">
      <x:c r="A7" s="30" t="str">
        <x:v>TC-006</x:v>
      </x:c>
      <x:c r="B7" s="30" t="str">
        <x:v>compliance</x:v>
      </x:c>
      <x:c r="C7" s="30" t="str">
        <x:v>IBC-R1-015</x:v>
      </x:c>
      <x:c r="D7" s="30" t="str">
        <x:v>Story occupant load 191 with 2 exits</x:v>
      </x:c>
      <x:c r="E7" s="30"/>
      <x:c r="F7" s="30"/>
      <x:c r="G7" s="30"/>
      <x:c r="H7" s="30" t="str">
        <x:f>IF(AND(E7&lt;&gt;"",F7&lt;&gt;""),ROUNDUP(E7/F7,0),"")</x:f>
      </x:c>
      <x:c r="I7" s="30" t="n">
        <x:v>2</x:v>
      </x:c>
      <x:c r="J7" s="30" t="str">
        <x:v>&gt;=</x:v>
      </x:c>
      <x:c r="K7" s="30" t="n">
        <x:v>2</x:v>
      </x:c>
      <x:c r="L7" s="30" t="str">
        <x:v>PASS</x:v>
      </x:c>
      <x:c r="M7" s="30" t="str">
        <x:f>IF(I7="","",IF(J7="&lt;=",IF(I7&lt;=K7,"PASS","FAIL"),IF(J7="&gt;=",IF(I7&gt;=K7,"PASS","FAIL"),IF(J7="eq",IF(I7=K7,"PASS","FAIL"),"REVIEW"))))</x:f>
        <x:v>PASS</x:v>
      </x:c>
      <x:c r="N7" s="30" t="str">
        <x:f>IF(B7="occupant_load_calc",IF(H7=G7,"PASS","FAIL"),IF(B7="compliance",IF(M7=L7,"PASS","FAIL"),"REVIEW"))</x:f>
        <x:v>PASS</x:v>
      </x:c>
      <x:c r="O7" s="30" t="str">
        <x:v>Minimum exit count for occupant load 1-500.</x:v>
      </x:c>
    </x:row>
    <x:row r="8">
      <x:c r="A8" s="30" t="str">
        <x:v>TC-007</x:v>
      </x:c>
      <x:c r="B8" s="30" t="str">
        <x:v>compliance</x:v>
      </x:c>
      <x:c r="C8" s="30" t="str">
        <x:v>IBC-R1-016</x:v>
      </x:c>
      <x:c r="D8" s="30" t="str">
        <x:v>Story occupant load 600 with only 2 exits</x:v>
      </x:c>
      <x:c r="E8" s="30"/>
      <x:c r="F8" s="30"/>
      <x:c r="G8" s="30"/>
      <x:c r="H8" s="30" t="str">
        <x:f>IF(AND(E8&lt;&gt;"",F8&lt;&gt;""),ROUNDUP(E8/F8,0),"")</x:f>
      </x:c>
      <x:c r="I8" s="30" t="n">
        <x:v>2</x:v>
      </x:c>
      <x:c r="J8" s="30" t="str">
        <x:v>&gt;=</x:v>
      </x:c>
      <x:c r="K8" s="30" t="n">
        <x:v>3</x:v>
      </x:c>
      <x:c r="L8" s="30" t="str">
        <x:v>FAIL</x:v>
      </x:c>
      <x:c r="M8" s="30" t="str">
        <x:f>IF(I8="","",IF(J8="&lt;=",IF(I8&lt;=K8,"PASS","FAIL"),IF(J8="&gt;=",IF(I8&gt;=K8,"PASS","FAIL"),IF(J8="eq",IF(I8=K8,"PASS","FAIL"),"REVIEW"))))</x:f>
        <x:v>FAIL</x:v>
      </x:c>
      <x:c r="N8" s="30" t="str">
        <x:f>IF(B8="occupant_load_calc",IF(H8=G8,"PASS","FAIL"),IF(B8="compliance",IF(M8=L8,"PASS","FAIL"),"REVIEW"))</x:f>
        <x:v>PASS</x:v>
      </x:c>
      <x:c r="O8" s="30" t="str">
        <x:v>Minimum exit count for occupant load 501-1000.</x:v>
      </x:c>
    </x:row>
    <x:row r="9">
      <x:c r="A9" s="30" t="str">
        <x:v>TC-008</x:v>
      </x:c>
      <x:c r="B9" s="30" t="str">
        <x:v>compliance</x:v>
      </x:c>
      <x:c r="C9" s="30" t="str">
        <x:v>IBC-R1-023</x:v>
      </x:c>
      <x:c r="D9" s="30" t="str">
        <x:v>Sprinklered Group R travel distance of 240 ft</x:v>
      </x:c>
      <x:c r="E9" s="30"/>
      <x:c r="F9" s="30"/>
      <x:c r="G9" s="30"/>
      <x:c r="H9" s="30" t="str">
        <x:f>IF(AND(E9&lt;&gt;"",F9&lt;&gt;""),ROUNDUP(E9/F9,0),"")</x:f>
      </x:c>
      <x:c r="I9" s="30" t="n">
        <x:v>240</x:v>
      </x:c>
      <x:c r="J9" s="30" t="str">
        <x:v>&lt;=</x:v>
      </x:c>
      <x:c r="K9" s="30" t="n">
        <x:v>250</x:v>
      </x:c>
      <x:c r="L9" s="30" t="str">
        <x:v>PASS</x:v>
      </x:c>
      <x:c r="M9" s="30" t="str">
        <x:f>IF(I9="","",IF(J9="&lt;=",IF(I9&lt;=K9,"PASS","FAIL"),IF(J9="&gt;=",IF(I9&gt;=K9,"PASS","FAIL"),IF(J9="eq",IF(I9=K9,"PASS","FAIL"),"REVIEW"))))</x:f>
        <x:v>PASS</x:v>
      </x:c>
      <x:c r="N9" s="30" t="str">
        <x:f>IF(B9="occupant_load_calc",IF(H9=G9,"PASS","FAIL"),IF(B9="compliance",IF(M9=L9,"PASS","FAIL"),"REVIEW"))</x:f>
        <x:v>PASS</x:v>
      </x:c>
      <x:c r="O9" s="30" t="str">
        <x:v>Should pass the 250-ft screen.</x:v>
      </x:c>
    </x:row>
    <x:row r="10">
      <x:c r="A10" s="30" t="str">
        <x:v>TC-009</x:v>
      </x:c>
      <x:c r="B10" s="30" t="str">
        <x:v>compliance</x:v>
      </x:c>
      <x:c r="C10" s="30" t="str">
        <x:v>IBC-R1-023</x:v>
      </x:c>
      <x:c r="D10" s="30" t="str">
        <x:v>Sprinklered Group R travel distance of 260 ft</x:v>
      </x:c>
      <x:c r="E10" s="30"/>
      <x:c r="F10" s="30"/>
      <x:c r="G10" s="30"/>
      <x:c r="H10" s="30" t="str">
        <x:f>IF(AND(E10&lt;&gt;"",F10&lt;&gt;""),ROUNDUP(E10/F10,0),"")</x:f>
      </x:c>
      <x:c r="I10" s="30" t="n">
        <x:v>260</x:v>
      </x:c>
      <x:c r="J10" s="30" t="str">
        <x:v>&lt;=</x:v>
      </x:c>
      <x:c r="K10" s="30" t="n">
        <x:v>250</x:v>
      </x:c>
      <x:c r="L10" s="30" t="str">
        <x:v>FAIL</x:v>
      </x:c>
      <x:c r="M10" s="30" t="str">
        <x:f>IF(I10="","",IF(J10="&lt;=",IF(I10&lt;=K10,"PASS","FAIL"),IF(J10="&gt;=",IF(I10&gt;=K10,"PASS","FAIL"),IF(J10="eq",IF(I10=K10,"PASS","FAIL"),"REVIEW"))))</x:f>
        <x:v>FAIL</x:v>
      </x:c>
      <x:c r="N10" s="30" t="str">
        <x:f>IF(B10="occupant_load_calc",IF(H10=G10,"PASS","FAIL"),IF(B10="compliance",IF(M10=L10,"PASS","FAIL"),"REVIEW"))</x:f>
        <x:v>PASS</x:v>
      </x:c>
      <x:c r="O10" s="30" t="str">
        <x:v>Should fail the 250-ft screen.</x:v>
      </x:c>
    </x:row>
    <x:row r="11">
      <x:c r="A11" s="30" t="str">
        <x:v>TC-010</x:v>
      </x:c>
      <x:c r="B11" s="30" t="str">
        <x:v>compliance</x:v>
      </x:c>
      <x:c r="C11" s="30" t="str">
        <x:v>IBC-R1-027</x:v>
      </x:c>
      <x:c r="D11" s="30" t="str">
        <x:v>Sprinklered R-1 dead-end corridor of 55 ft</x:v>
      </x:c>
      <x:c r="E11" s="30"/>
      <x:c r="F11" s="30"/>
      <x:c r="G11" s="30"/>
      <x:c r="H11" s="30" t="str">
        <x:f>IF(AND(E11&lt;&gt;"",F11&lt;&gt;""),ROUNDUP(E11/F11,0),"")</x:f>
      </x:c>
      <x:c r="I11" s="30" t="n">
        <x:v>55</x:v>
      </x:c>
      <x:c r="J11" s="30" t="str">
        <x:v>&lt;=</x:v>
      </x:c>
      <x:c r="K11" s="30" t="n">
        <x:v>50</x:v>
      </x:c>
      <x:c r="L11" s="30" t="str">
        <x:v>FAIL</x:v>
      </x:c>
      <x:c r="M11" s="30" t="str">
        <x:f>IF(I11="","",IF(J11="&lt;=",IF(I11&lt;=K11,"PASS","FAIL"),IF(J11="&gt;=",IF(I11&gt;=K11,"PASS","FAIL"),IF(J11="eq",IF(I11=K11,"PASS","FAIL"),"REVIEW"))))</x:f>
        <x:v>FAIL</x:v>
      </x:c>
      <x:c r="N11" s="30" t="str">
        <x:f>IF(B11="occupant_load_calc",IF(H11=G11,"PASS","FAIL"),IF(B11="compliance",IF(M11=L11,"PASS","FAIL"),"REVIEW"))</x:f>
        <x:v>PASS</x:v>
      </x:c>
      <x:c r="O11" s="30" t="str">
        <x:v>Should fail the 50-ft dead-end screen.</x:v>
      </x:c>
    </x:row>
  </x:sheetData>
  <x:conditionalFormatting sqref="N2:N11">
    <x:cfRule type="expression" dxfId="0" priority="1">
      <x:formula>N2="FAIL"</x:formula>
    </x:cfRule>
    <x:cfRule type="expression" dxfId="1" priority="2">
      <x:formula>N2="PASS"</x:formula>
    </x:cfRule>
  </x:conditionalFormatting>
  <x:pageMargins left="0.7" right="0.7" top="0.75" bottom="0.75" header="0.3" footer="0.3"/>
</x:worksheet>
</file>